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Password="A6E8" lockStructure="1"/>
  <bookViews>
    <workbookView showSheetTabs="0" xWindow="-15" yWindow="-15" windowWidth="12600" windowHeight="12390" tabRatio="767"/>
  </bookViews>
  <sheets>
    <sheet name="CARATULA" sheetId="62" r:id="rId1"/>
    <sheet name="FILIACIÓN" sheetId="1" r:id="rId2"/>
    <sheet name="CENTRALIZADOR" sheetId="14" r:id="rId3"/>
    <sheet name="ASISTENCIA 1" sheetId="25" r:id="rId4"/>
    <sheet name="1ER TRIMESTRE" sheetId="2" r:id="rId5"/>
    <sheet name="ASISTENCIA 2" sheetId="59" r:id="rId6"/>
    <sheet name="2DO TRIMESTRE" sheetId="27" r:id="rId7"/>
    <sheet name="ASISTENCIA 3" sheetId="60" r:id="rId8"/>
    <sheet name="3ER TRIMESTRE" sheetId="28" r:id="rId9"/>
    <sheet name="ESTADISTICA" sheetId="76" r:id="rId10"/>
  </sheets>
  <definedNames>
    <definedName name="_xlnm._FilterDatabase" localSheetId="4" hidden="1">'1ER TRIMESTRE'!$CA$12:$CB$62</definedName>
    <definedName name="_xlnm._FilterDatabase" localSheetId="6" hidden="1">'2DO TRIMESTRE'!$CA$12:$CB$62</definedName>
    <definedName name="_xlnm._FilterDatabase" localSheetId="8" hidden="1">'3ER TRIMESTRE'!$CA$12:$CB$62</definedName>
    <definedName name="_xlnm._FilterDatabase" localSheetId="3" hidden="1">'ASISTENCIA 1'!$CL$13:$CM$63</definedName>
    <definedName name="_xlnm._FilterDatabase" localSheetId="5" hidden="1">'ASISTENCIA 2'!$CL$13:$CM$63</definedName>
    <definedName name="_xlnm._FilterDatabase" localSheetId="7" hidden="1">'ASISTENCIA 3'!$CL$13:$CM$63</definedName>
    <definedName name="_xlnm._FilterDatabase" localSheetId="2" hidden="1">CENTRALIZADOR!$R$11:$S$65</definedName>
    <definedName name="_xlnm.Print_Area" localSheetId="4">'1ER TRIMESTRE'!$A$1:$BO$62</definedName>
    <definedName name="_xlnm.Print_Area" localSheetId="6">'2DO TRIMESTRE'!$A$1:$BO$62</definedName>
    <definedName name="_xlnm.Print_Area" localSheetId="8">'3ER TRIMESTRE'!$A$1:$BO$62</definedName>
    <definedName name="_xlnm.Print_Area" localSheetId="3">'ASISTENCIA 1'!$A$1:$CD$63</definedName>
    <definedName name="_xlnm.Print_Area" localSheetId="5">'ASISTENCIA 2'!$A$1:$CD$63</definedName>
    <definedName name="_xlnm.Print_Area" localSheetId="7">'ASISTENCIA 3'!$A$1:$CD$63</definedName>
    <definedName name="_xlnm.Print_Area" localSheetId="0">CARATULA!$A$1:$H$42</definedName>
    <definedName name="_xlnm.Print_Area" localSheetId="2">CENTRALIZADOR!$A$1:$Q$67</definedName>
    <definedName name="_xlnm.Print_Area" localSheetId="1">FILIACIÓN!$A$1:$Z$61</definedName>
  </definedNames>
  <calcPr calcId="144525"/>
</workbook>
</file>

<file path=xl/calcChain.xml><?xml version="1.0" encoding="utf-8"?>
<calcChain xmlns="http://schemas.openxmlformats.org/spreadsheetml/2006/main">
  <c r="AR64" i="25" l="1"/>
  <c r="AS64" i="25"/>
  <c r="AT64" i="25"/>
  <c r="AU64" i="25"/>
  <c r="AV64" i="25"/>
  <c r="AW64" i="25"/>
  <c r="AX64" i="25"/>
  <c r="AY64" i="25"/>
  <c r="AZ64" i="25"/>
  <c r="BA64" i="25"/>
  <c r="BB64" i="25"/>
  <c r="BC64" i="25"/>
  <c r="BD64" i="25"/>
  <c r="BE64" i="25"/>
  <c r="BF64" i="25"/>
  <c r="BG64" i="25"/>
  <c r="BH64" i="25"/>
  <c r="BI64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AR65" i="25"/>
  <c r="AS65" i="25"/>
  <c r="AT65" i="25"/>
  <c r="AU65" i="25"/>
  <c r="AV65" i="25"/>
  <c r="AW65" i="25"/>
  <c r="AX65" i="25"/>
  <c r="AY65" i="25"/>
  <c r="AZ65" i="25"/>
  <c r="BA65" i="25"/>
  <c r="BB65" i="25"/>
  <c r="BC65" i="25"/>
  <c r="BD65" i="25"/>
  <c r="BE65" i="25"/>
  <c r="BF65" i="25"/>
  <c r="BG65" i="25"/>
  <c r="BH65" i="25"/>
  <c r="BI65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AR64" i="59"/>
  <c r="AS64" i="59"/>
  <c r="AT64" i="59"/>
  <c r="AU64" i="59"/>
  <c r="AV64" i="59"/>
  <c r="AW64" i="59"/>
  <c r="AX64" i="59"/>
  <c r="AY64" i="59"/>
  <c r="AZ64" i="59"/>
  <c r="BA64" i="59"/>
  <c r="BB64" i="59"/>
  <c r="BC64" i="59"/>
  <c r="BD64" i="59"/>
  <c r="BE64" i="59"/>
  <c r="BF64" i="59"/>
  <c r="BG64" i="59"/>
  <c r="BH64" i="59"/>
  <c r="BI64" i="59"/>
  <c r="BJ64" i="59"/>
  <c r="BK64" i="59"/>
  <c r="BL64" i="59"/>
  <c r="BM64" i="59"/>
  <c r="BN64" i="59"/>
  <c r="BO64" i="59"/>
  <c r="BP64" i="59"/>
  <c r="BQ64" i="59"/>
  <c r="BR64" i="59"/>
  <c r="BS64" i="59"/>
  <c r="BT64" i="59"/>
  <c r="BU64" i="59"/>
  <c r="AR65" i="59"/>
  <c r="AS65" i="59"/>
  <c r="AT65" i="59"/>
  <c r="AU65" i="59"/>
  <c r="AV65" i="59"/>
  <c r="AW65" i="59"/>
  <c r="AX65" i="59"/>
  <c r="AY65" i="59"/>
  <c r="AZ65" i="59"/>
  <c r="BA65" i="59"/>
  <c r="BB65" i="59"/>
  <c r="BC65" i="59"/>
  <c r="BD65" i="59"/>
  <c r="BE65" i="59"/>
  <c r="BF65" i="59"/>
  <c r="BG65" i="59"/>
  <c r="BH65" i="59"/>
  <c r="BI65" i="59"/>
  <c r="BJ65" i="59"/>
  <c r="BK65" i="59"/>
  <c r="BL65" i="59"/>
  <c r="BM65" i="59"/>
  <c r="BN65" i="59"/>
  <c r="BO65" i="59"/>
  <c r="BP65" i="59"/>
  <c r="BQ65" i="59"/>
  <c r="BR65" i="59"/>
  <c r="BS65" i="59"/>
  <c r="BT65" i="59"/>
  <c r="BU65" i="59"/>
  <c r="AR64" i="60"/>
  <c r="AS64" i="60"/>
  <c r="AT64" i="60"/>
  <c r="AU64" i="60"/>
  <c r="AV64" i="60"/>
  <c r="AW64" i="60"/>
  <c r="AX64" i="60"/>
  <c r="AY64" i="60"/>
  <c r="AZ64" i="60"/>
  <c r="BA64" i="60"/>
  <c r="BB64" i="60"/>
  <c r="BC64" i="60"/>
  <c r="BD64" i="60"/>
  <c r="BE64" i="60"/>
  <c r="BF64" i="60"/>
  <c r="BG64" i="60"/>
  <c r="BH64" i="60"/>
  <c r="BI64" i="60"/>
  <c r="BJ64" i="60"/>
  <c r="BK64" i="60"/>
  <c r="BL64" i="60"/>
  <c r="BM64" i="60"/>
  <c r="BN64" i="60"/>
  <c r="BO64" i="60"/>
  <c r="BP64" i="60"/>
  <c r="BQ64" i="60"/>
  <c r="BR64" i="60"/>
  <c r="BS64" i="60"/>
  <c r="BT64" i="60"/>
  <c r="BU64" i="60"/>
  <c r="AR65" i="60"/>
  <c r="AS65" i="60"/>
  <c r="AT65" i="60"/>
  <c r="AU65" i="60"/>
  <c r="AV65" i="60"/>
  <c r="AW65" i="60"/>
  <c r="AX65" i="60"/>
  <c r="AY65" i="60"/>
  <c r="AZ65" i="60"/>
  <c r="BA65" i="60"/>
  <c r="BB65" i="60"/>
  <c r="BC65" i="60"/>
  <c r="BD65" i="60"/>
  <c r="BE65" i="60"/>
  <c r="BF65" i="60"/>
  <c r="BG65" i="60"/>
  <c r="BH65" i="60"/>
  <c r="BI65" i="60"/>
  <c r="BJ65" i="60"/>
  <c r="BK65" i="60"/>
  <c r="BL65" i="60"/>
  <c r="BM65" i="60"/>
  <c r="BN65" i="60"/>
  <c r="BO65" i="60"/>
  <c r="BP65" i="60"/>
  <c r="BQ65" i="60"/>
  <c r="BR65" i="60"/>
  <c r="BS65" i="60"/>
  <c r="BT65" i="60"/>
  <c r="BU65" i="60"/>
  <c r="B68" i="59" l="1"/>
  <c r="B68" i="60"/>
  <c r="B68" i="25"/>
  <c r="B58" i="2" l="1"/>
  <c r="BI56" i="27"/>
  <c r="BI57" i="27"/>
  <c r="BI58" i="27"/>
  <c r="BI59" i="27"/>
  <c r="BI60" i="27"/>
  <c r="BI56" i="28"/>
  <c r="BI57" i="28"/>
  <c r="BI58" i="28"/>
  <c r="BI59" i="28"/>
  <c r="BI60" i="28"/>
  <c r="BI56" i="2"/>
  <c r="BI57" i="2"/>
  <c r="BI58" i="2"/>
  <c r="BI59" i="2"/>
  <c r="BI60" i="2"/>
  <c r="AW56" i="27"/>
  <c r="AW57" i="27"/>
  <c r="AW58" i="27"/>
  <c r="AW59" i="27"/>
  <c r="AW60" i="27"/>
  <c r="AW56" i="28"/>
  <c r="AW57" i="28"/>
  <c r="AW58" i="28"/>
  <c r="AW59" i="28"/>
  <c r="AW60" i="28"/>
  <c r="AW56" i="2"/>
  <c r="AW57" i="2"/>
  <c r="AW58" i="2"/>
  <c r="AW59" i="2"/>
  <c r="AW60" i="2"/>
  <c r="AF56" i="27"/>
  <c r="AF57" i="27"/>
  <c r="AF58" i="27"/>
  <c r="AF59" i="27"/>
  <c r="AF60" i="27"/>
  <c r="AF56" i="28"/>
  <c r="AF57" i="28"/>
  <c r="AF58" i="28"/>
  <c r="AF59" i="28"/>
  <c r="AF60" i="28"/>
  <c r="AF56" i="2"/>
  <c r="AF57" i="2"/>
  <c r="AF58" i="2"/>
  <c r="AF59" i="2"/>
  <c r="AF60" i="2"/>
  <c r="A56" i="27"/>
  <c r="B56" i="27"/>
  <c r="A57" i="27"/>
  <c r="B57" i="27"/>
  <c r="A58" i="27"/>
  <c r="B58" i="27"/>
  <c r="A59" i="27"/>
  <c r="B59" i="27"/>
  <c r="A60" i="27"/>
  <c r="B60" i="27"/>
  <c r="A56" i="28"/>
  <c r="B56" i="28"/>
  <c r="A57" i="28"/>
  <c r="B57" i="28"/>
  <c r="A58" i="28"/>
  <c r="B58" i="28"/>
  <c r="A59" i="28"/>
  <c r="B59" i="28"/>
  <c r="A60" i="28"/>
  <c r="B60" i="28"/>
  <c r="A56" i="2"/>
  <c r="B56" i="2"/>
  <c r="A57" i="2"/>
  <c r="B57" i="2"/>
  <c r="A58" i="2"/>
  <c r="A59" i="2"/>
  <c r="B59" i="2"/>
  <c r="A60" i="2"/>
  <c r="B60" i="2"/>
  <c r="BX57" i="25"/>
  <c r="BY57" i="25"/>
  <c r="BZ57" i="25"/>
  <c r="CA57" i="25"/>
  <c r="BX58" i="25"/>
  <c r="BY58" i="25"/>
  <c r="BZ58" i="25"/>
  <c r="CA58" i="25"/>
  <c r="BX59" i="25"/>
  <c r="BY59" i="25"/>
  <c r="BZ59" i="25"/>
  <c r="CB59" i="25" s="1"/>
  <c r="CA59" i="25"/>
  <c r="BX60" i="25"/>
  <c r="BY60" i="25"/>
  <c r="BZ60" i="25"/>
  <c r="CA60" i="25"/>
  <c r="BX61" i="25"/>
  <c r="BY61" i="25"/>
  <c r="BZ61" i="25"/>
  <c r="CA61" i="25"/>
  <c r="BX57" i="60"/>
  <c r="BY57" i="60"/>
  <c r="BZ57" i="60"/>
  <c r="CA57" i="60"/>
  <c r="BX58" i="60"/>
  <c r="BY58" i="60"/>
  <c r="BZ58" i="60"/>
  <c r="CA58" i="60"/>
  <c r="BX59" i="60"/>
  <c r="BY59" i="60"/>
  <c r="BZ59" i="60"/>
  <c r="CB59" i="60" s="1"/>
  <c r="CA59" i="60"/>
  <c r="BX60" i="60"/>
  <c r="BY60" i="60"/>
  <c r="BZ60" i="60"/>
  <c r="CA60" i="60"/>
  <c r="BX61" i="60"/>
  <c r="BY61" i="60"/>
  <c r="BZ61" i="60"/>
  <c r="CB61" i="60" s="1"/>
  <c r="CA61" i="60"/>
  <c r="BX57" i="59"/>
  <c r="BY57" i="59"/>
  <c r="BZ57" i="59"/>
  <c r="CA57" i="59"/>
  <c r="BX58" i="59"/>
  <c r="BY58" i="59"/>
  <c r="BZ58" i="59"/>
  <c r="CA58" i="59"/>
  <c r="BX59" i="59"/>
  <c r="BY59" i="59"/>
  <c r="BZ59" i="59"/>
  <c r="CA59" i="59"/>
  <c r="BX60" i="59"/>
  <c r="BY60" i="59"/>
  <c r="BZ60" i="59"/>
  <c r="CB60" i="59" s="1"/>
  <c r="CA60" i="59"/>
  <c r="BX61" i="59"/>
  <c r="BY61" i="59"/>
  <c r="BZ61" i="59"/>
  <c r="CB61" i="59" s="1"/>
  <c r="CA61" i="59"/>
  <c r="B57" i="25"/>
  <c r="B58" i="25"/>
  <c r="B59" i="25"/>
  <c r="B60" i="25"/>
  <c r="B61" i="25"/>
  <c r="B57" i="60"/>
  <c r="B58" i="60"/>
  <c r="B59" i="60"/>
  <c r="B60" i="60"/>
  <c r="B61" i="60"/>
  <c r="B57" i="59"/>
  <c r="B58" i="59"/>
  <c r="B59" i="59"/>
  <c r="B60" i="59"/>
  <c r="B61" i="59"/>
  <c r="A57" i="25"/>
  <c r="A58" i="25"/>
  <c r="A59" i="25"/>
  <c r="A60" i="25"/>
  <c r="A61" i="25"/>
  <c r="A57" i="60"/>
  <c r="A58" i="60"/>
  <c r="A59" i="60"/>
  <c r="A60" i="60"/>
  <c r="A61" i="60"/>
  <c r="A57" i="59"/>
  <c r="A58" i="59"/>
  <c r="A59" i="59"/>
  <c r="A60" i="59"/>
  <c r="A61" i="59"/>
  <c r="A61" i="14"/>
  <c r="A55" i="14"/>
  <c r="B55" i="14"/>
  <c r="A56" i="14"/>
  <c r="B56" i="14"/>
  <c r="A57" i="14"/>
  <c r="B57" i="14"/>
  <c r="A58" i="14"/>
  <c r="B58" i="14"/>
  <c r="A59" i="14"/>
  <c r="B59" i="14"/>
  <c r="A54" i="14"/>
  <c r="AX54" i="1"/>
  <c r="AX55" i="1"/>
  <c r="AX56" i="1"/>
  <c r="AX57" i="1"/>
  <c r="AX58" i="1"/>
  <c r="AS54" i="1"/>
  <c r="AS55" i="1"/>
  <c r="AS56" i="1"/>
  <c r="AS57" i="1"/>
  <c r="AS58" i="1"/>
  <c r="AF54" i="1"/>
  <c r="AG54" i="1"/>
  <c r="AF55" i="1"/>
  <c r="AG55" i="1"/>
  <c r="AF56" i="1"/>
  <c r="AG56" i="1"/>
  <c r="AF57" i="1"/>
  <c r="AG57" i="1"/>
  <c r="AF58" i="1"/>
  <c r="AG58" i="1"/>
  <c r="Y54" i="1"/>
  <c r="CC57" i="60" s="1"/>
  <c r="Y55" i="1"/>
  <c r="Z55" i="1" s="1"/>
  <c r="CB57" i="27" s="1"/>
  <c r="Y56" i="1"/>
  <c r="BP58" i="2" s="1"/>
  <c r="Y57" i="1"/>
  <c r="Z57" i="1" s="1"/>
  <c r="CB59" i="28" s="1"/>
  <c r="Y58" i="1"/>
  <c r="CC61" i="59" s="1"/>
  <c r="E54" i="1"/>
  <c r="E55" i="1"/>
  <c r="E56" i="1"/>
  <c r="E57" i="1"/>
  <c r="E58" i="1"/>
  <c r="CB58" i="60" l="1"/>
  <c r="CB57" i="60"/>
  <c r="CB59" i="59"/>
  <c r="AJ57" i="1"/>
  <c r="CB58" i="59"/>
  <c r="CB57" i="25"/>
  <c r="CB61" i="25"/>
  <c r="CB60" i="25"/>
  <c r="Z58" i="1"/>
  <c r="CB60" i="27" s="1"/>
  <c r="AI58" i="1"/>
  <c r="AI55" i="1"/>
  <c r="AK55" i="1"/>
  <c r="R56" i="14"/>
  <c r="AH58" i="1"/>
  <c r="AL58" i="1" s="1"/>
  <c r="T59" i="14" s="1"/>
  <c r="W59" i="14" s="1"/>
  <c r="Z56" i="1"/>
  <c r="CB58" i="2" s="1"/>
  <c r="AK58" i="1"/>
  <c r="AH56" i="1"/>
  <c r="AJ55" i="1"/>
  <c r="CB60" i="60"/>
  <c r="CB57" i="59"/>
  <c r="CB58" i="25"/>
  <c r="V59" i="14"/>
  <c r="AJ58" i="1"/>
  <c r="AH57" i="1"/>
  <c r="AJ56" i="1"/>
  <c r="AH55" i="1"/>
  <c r="AJ54" i="1"/>
  <c r="R59" i="14"/>
  <c r="R58" i="14"/>
  <c r="CC58" i="59"/>
  <c r="CC61" i="60"/>
  <c r="CC59" i="25"/>
  <c r="CC57" i="25"/>
  <c r="CM58" i="59"/>
  <c r="CM60" i="25"/>
  <c r="BP60" i="2"/>
  <c r="BP57" i="2"/>
  <c r="BP60" i="28"/>
  <c r="BP58" i="28"/>
  <c r="BP60" i="27"/>
  <c r="BP56" i="27"/>
  <c r="CB57" i="2"/>
  <c r="CB59" i="27"/>
  <c r="Z54" i="1"/>
  <c r="AK57" i="1"/>
  <c r="AI56" i="1"/>
  <c r="AL56" i="1" s="1"/>
  <c r="T57" i="14" s="1"/>
  <c r="V57" i="14" s="1"/>
  <c r="AI54" i="1"/>
  <c r="S56" i="14"/>
  <c r="CC60" i="59"/>
  <c r="CC58" i="60"/>
  <c r="CC61" i="25"/>
  <c r="CM61" i="59"/>
  <c r="CM58" i="60"/>
  <c r="BP56" i="2"/>
  <c r="BP57" i="28"/>
  <c r="BP59" i="27"/>
  <c r="CB60" i="2"/>
  <c r="CB57" i="28"/>
  <c r="AH54" i="1"/>
  <c r="CC57" i="59"/>
  <c r="CC60" i="60"/>
  <c r="CC60" i="25"/>
  <c r="CC58" i="25"/>
  <c r="CM60" i="59"/>
  <c r="CM61" i="60"/>
  <c r="CM58" i="25"/>
  <c r="BP59" i="2"/>
  <c r="BP56" i="28"/>
  <c r="BP58" i="27"/>
  <c r="CB59" i="2"/>
  <c r="CB60" i="28"/>
  <c r="AI57" i="1"/>
  <c r="AL57" i="1" s="1"/>
  <c r="T58" i="14" s="1"/>
  <c r="AK56" i="1"/>
  <c r="AK54" i="1"/>
  <c r="S59" i="14"/>
  <c r="S58" i="14"/>
  <c r="R57" i="14"/>
  <c r="R55" i="14"/>
  <c r="CC59" i="59"/>
  <c r="CC59" i="60"/>
  <c r="CM60" i="60"/>
  <c r="CM61" i="25"/>
  <c r="BP59" i="28"/>
  <c r="BP57" i="27"/>
  <c r="W57" i="14"/>
  <c r="BW65" i="59"/>
  <c r="BW65" i="60"/>
  <c r="BW65" i="25"/>
  <c r="H65" i="59"/>
  <c r="I65" i="59"/>
  <c r="J65" i="59"/>
  <c r="K65" i="59"/>
  <c r="L65" i="59"/>
  <c r="M65" i="59"/>
  <c r="N65" i="59"/>
  <c r="O65" i="59"/>
  <c r="P65" i="59"/>
  <c r="Q65" i="59"/>
  <c r="R65" i="59"/>
  <c r="S65" i="59"/>
  <c r="T65" i="59"/>
  <c r="U65" i="59"/>
  <c r="V65" i="59"/>
  <c r="W65" i="59"/>
  <c r="X65" i="59"/>
  <c r="Y65" i="59"/>
  <c r="Z65" i="59"/>
  <c r="AA65" i="59"/>
  <c r="AB65" i="59"/>
  <c r="AC65" i="59"/>
  <c r="AD65" i="59"/>
  <c r="AE65" i="59"/>
  <c r="AF65" i="59"/>
  <c r="AG65" i="59"/>
  <c r="AH65" i="59"/>
  <c r="AI65" i="59"/>
  <c r="AJ65" i="59"/>
  <c r="AK65" i="59"/>
  <c r="AL65" i="59"/>
  <c r="AM65" i="59"/>
  <c r="AN65" i="59"/>
  <c r="AO65" i="59"/>
  <c r="AP65" i="59"/>
  <c r="AQ65" i="59"/>
  <c r="BV65" i="59"/>
  <c r="H65" i="60"/>
  <c r="I65" i="60"/>
  <c r="J65" i="60"/>
  <c r="K65" i="60"/>
  <c r="L65" i="60"/>
  <c r="M65" i="60"/>
  <c r="N65" i="60"/>
  <c r="O65" i="60"/>
  <c r="P65" i="60"/>
  <c r="Q65" i="60"/>
  <c r="R65" i="60"/>
  <c r="S65" i="60"/>
  <c r="T65" i="60"/>
  <c r="U65" i="60"/>
  <c r="V65" i="60"/>
  <c r="W65" i="60"/>
  <c r="X65" i="60"/>
  <c r="Y65" i="60"/>
  <c r="Z65" i="60"/>
  <c r="AA65" i="60"/>
  <c r="AB65" i="60"/>
  <c r="AC65" i="60"/>
  <c r="AD65" i="60"/>
  <c r="AE65" i="60"/>
  <c r="AF65" i="60"/>
  <c r="AG65" i="60"/>
  <c r="AH65" i="60"/>
  <c r="AI65" i="60"/>
  <c r="AJ65" i="60"/>
  <c r="AK65" i="60"/>
  <c r="AL65" i="60"/>
  <c r="AM65" i="60"/>
  <c r="AN65" i="60"/>
  <c r="AO65" i="60"/>
  <c r="AP65" i="60"/>
  <c r="AQ65" i="60"/>
  <c r="BV65" i="60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V65" i="25"/>
  <c r="W65" i="25"/>
  <c r="X65" i="25"/>
  <c r="Y65" i="25"/>
  <c r="Z65" i="25"/>
  <c r="AA65" i="25"/>
  <c r="AB65" i="25"/>
  <c r="AC65" i="25"/>
  <c r="AD65" i="25"/>
  <c r="AE65" i="25"/>
  <c r="AF65" i="25"/>
  <c r="AG65" i="25"/>
  <c r="AH65" i="25"/>
  <c r="AI65" i="25"/>
  <c r="AJ65" i="25"/>
  <c r="AK65" i="25"/>
  <c r="AL65" i="25"/>
  <c r="AM65" i="25"/>
  <c r="AN65" i="25"/>
  <c r="AO65" i="25"/>
  <c r="AP65" i="25"/>
  <c r="AQ65" i="25"/>
  <c r="BV65" i="25"/>
  <c r="G65" i="59"/>
  <c r="G65" i="60"/>
  <c r="G65" i="25"/>
  <c r="F65" i="59"/>
  <c r="F65" i="60"/>
  <c r="F65" i="25"/>
  <c r="Y11" i="1"/>
  <c r="AL55" i="1" l="1"/>
  <c r="T56" i="14" s="1"/>
  <c r="V56" i="14" s="1"/>
  <c r="CB58" i="27"/>
  <c r="S57" i="14"/>
  <c r="CM59" i="25"/>
  <c r="CB58" i="28"/>
  <c r="CM59" i="59"/>
  <c r="AL54" i="1"/>
  <c r="T55" i="14" s="1"/>
  <c r="W55" i="14" s="1"/>
  <c r="CM59" i="60"/>
  <c r="W58" i="14"/>
  <c r="V58" i="14"/>
  <c r="W56" i="14"/>
  <c r="CB56" i="27"/>
  <c r="CM57" i="25"/>
  <c r="CB56" i="28"/>
  <c r="CM57" i="60"/>
  <c r="S55" i="14"/>
  <c r="CB56" i="2"/>
  <c r="CM57" i="59"/>
  <c r="M7" i="14"/>
  <c r="M6" i="14"/>
  <c r="E7" i="14"/>
  <c r="E6" i="14"/>
  <c r="K2" i="62"/>
  <c r="A1" i="14" s="1"/>
  <c r="V55" i="14" l="1"/>
  <c r="A2" i="14"/>
  <c r="K14" i="76" l="1"/>
  <c r="K13" i="76"/>
  <c r="B14" i="76"/>
  <c r="B13" i="76"/>
  <c r="K15" i="76" l="1"/>
  <c r="B15" i="76"/>
  <c r="AG64" i="59" l="1"/>
  <c r="AH64" i="59"/>
  <c r="AI64" i="59"/>
  <c r="AJ64" i="59"/>
  <c r="AK64" i="59"/>
  <c r="AL64" i="59"/>
  <c r="AM64" i="59"/>
  <c r="AN64" i="59"/>
  <c r="AO64" i="59"/>
  <c r="AP64" i="59"/>
  <c r="AQ64" i="59"/>
  <c r="AG64" i="60"/>
  <c r="AH64" i="60"/>
  <c r="AI64" i="60"/>
  <c r="AJ64" i="60"/>
  <c r="AK64" i="60"/>
  <c r="AL64" i="60"/>
  <c r="AM64" i="60"/>
  <c r="AN64" i="60"/>
  <c r="AO64" i="60"/>
  <c r="AP64" i="60"/>
  <c r="AQ64" i="60"/>
  <c r="AG64" i="25"/>
  <c r="AH64" i="25"/>
  <c r="AI64" i="25"/>
  <c r="AJ64" i="25"/>
  <c r="AK64" i="25"/>
  <c r="AL64" i="25"/>
  <c r="AM64" i="25"/>
  <c r="AN64" i="25"/>
  <c r="AO64" i="25"/>
  <c r="AP64" i="25"/>
  <c r="AQ64" i="25"/>
  <c r="BI62" i="27" l="1"/>
  <c r="BI61" i="27"/>
  <c r="BI55" i="27"/>
  <c r="BI54" i="27"/>
  <c r="BI53" i="27"/>
  <c r="BI52" i="27"/>
  <c r="BI51" i="27"/>
  <c r="BI50" i="27"/>
  <c r="BI49" i="27"/>
  <c r="BI48" i="27"/>
  <c r="BI47" i="27"/>
  <c r="BI46" i="27"/>
  <c r="BI45" i="27"/>
  <c r="BI44" i="27"/>
  <c r="BI43" i="27"/>
  <c r="BI42" i="27"/>
  <c r="BI41" i="27"/>
  <c r="BI40" i="27"/>
  <c r="BI39" i="27"/>
  <c r="BI38" i="27"/>
  <c r="BI37" i="27"/>
  <c r="BI36" i="27"/>
  <c r="BI35" i="27"/>
  <c r="BI34" i="27"/>
  <c r="BI33" i="27"/>
  <c r="BI32" i="27"/>
  <c r="BI31" i="27"/>
  <c r="BI30" i="27"/>
  <c r="BI29" i="27"/>
  <c r="BI28" i="27"/>
  <c r="BI27" i="27"/>
  <c r="BI26" i="27"/>
  <c r="BI25" i="27"/>
  <c r="BI24" i="27"/>
  <c r="BI23" i="27"/>
  <c r="BI22" i="27"/>
  <c r="BI21" i="27"/>
  <c r="BI20" i="27"/>
  <c r="BI19" i="27"/>
  <c r="BI18" i="27"/>
  <c r="BI17" i="27"/>
  <c r="BI16" i="27"/>
  <c r="BI15" i="27"/>
  <c r="BI14" i="27"/>
  <c r="BI62" i="28"/>
  <c r="BI61" i="28"/>
  <c r="BI55" i="28"/>
  <c r="BI54" i="28"/>
  <c r="BI53" i="28"/>
  <c r="BI52" i="28"/>
  <c r="BI51" i="28"/>
  <c r="BI50" i="28"/>
  <c r="BI49" i="28"/>
  <c r="BI48" i="28"/>
  <c r="BI47" i="28"/>
  <c r="BI46" i="28"/>
  <c r="BI45" i="28"/>
  <c r="BI44" i="28"/>
  <c r="BI43" i="28"/>
  <c r="BI42" i="28"/>
  <c r="BI41" i="28"/>
  <c r="BI40" i="28"/>
  <c r="BI39" i="28"/>
  <c r="BI38" i="28"/>
  <c r="BI37" i="28"/>
  <c r="BI36" i="28"/>
  <c r="BI35" i="28"/>
  <c r="BI34" i="28"/>
  <c r="BI33" i="28"/>
  <c r="BI32" i="28"/>
  <c r="BI31" i="28"/>
  <c r="BI30" i="28"/>
  <c r="BI29" i="28"/>
  <c r="BI28" i="28"/>
  <c r="BI27" i="28"/>
  <c r="BI26" i="28"/>
  <c r="BI25" i="28"/>
  <c r="BI24" i="28"/>
  <c r="BI23" i="28"/>
  <c r="BI22" i="28"/>
  <c r="BI21" i="28"/>
  <c r="BI20" i="28"/>
  <c r="BI19" i="28"/>
  <c r="BI18" i="28"/>
  <c r="BI17" i="28"/>
  <c r="BI16" i="28"/>
  <c r="BI15" i="28"/>
  <c r="BI14" i="28"/>
  <c r="BI62" i="2"/>
  <c r="BI61" i="2"/>
  <c r="BI55" i="2"/>
  <c r="BI54" i="2"/>
  <c r="BI53" i="2"/>
  <c r="BI52" i="2"/>
  <c r="BI51" i="2"/>
  <c r="BI50" i="2"/>
  <c r="BI49" i="2"/>
  <c r="BI48" i="2"/>
  <c r="BI47" i="2"/>
  <c r="BI46" i="2"/>
  <c r="BI45" i="2"/>
  <c r="BI44" i="2"/>
  <c r="BI43" i="2"/>
  <c r="BI42" i="2"/>
  <c r="BI41" i="2"/>
  <c r="BI40" i="2"/>
  <c r="BI39" i="2"/>
  <c r="BI38" i="2"/>
  <c r="BI37" i="2"/>
  <c r="BI36" i="2"/>
  <c r="BI35" i="2"/>
  <c r="BI34" i="2"/>
  <c r="BI33" i="2"/>
  <c r="BI32" i="2"/>
  <c r="BI31" i="2"/>
  <c r="BI30" i="2"/>
  <c r="BI29" i="2"/>
  <c r="BI28" i="2"/>
  <c r="BI27" i="2"/>
  <c r="BI26" i="2"/>
  <c r="BI25" i="2"/>
  <c r="BI24" i="2"/>
  <c r="BI23" i="2"/>
  <c r="BI22" i="2"/>
  <c r="BI21" i="2"/>
  <c r="BI20" i="2"/>
  <c r="BI19" i="2"/>
  <c r="BI18" i="2"/>
  <c r="BI17" i="2"/>
  <c r="BI16" i="2"/>
  <c r="BI15" i="2"/>
  <c r="BI14" i="2"/>
  <c r="BI13" i="27"/>
  <c r="BI13" i="28"/>
  <c r="BI13" i="2"/>
  <c r="AW62" i="27"/>
  <c r="AW61" i="27"/>
  <c r="AW55" i="27"/>
  <c r="AW54" i="27"/>
  <c r="AW53" i="27"/>
  <c r="AW52" i="27"/>
  <c r="AW51" i="27"/>
  <c r="AW50" i="27"/>
  <c r="AW49" i="27"/>
  <c r="AW48" i="27"/>
  <c r="AW47" i="27"/>
  <c r="AW46" i="27"/>
  <c r="AW45" i="27"/>
  <c r="AW44" i="27"/>
  <c r="AW43" i="27"/>
  <c r="AW42" i="27"/>
  <c r="AW41" i="27"/>
  <c r="AW40" i="27"/>
  <c r="AW39" i="27"/>
  <c r="AW38" i="27"/>
  <c r="AW37" i="27"/>
  <c r="AW36" i="27"/>
  <c r="AW35" i="27"/>
  <c r="AW34" i="27"/>
  <c r="AW33" i="27"/>
  <c r="AW32" i="27"/>
  <c r="AW31" i="27"/>
  <c r="AW30" i="27"/>
  <c r="AW29" i="27"/>
  <c r="AW28" i="27"/>
  <c r="AW27" i="27"/>
  <c r="AW26" i="27"/>
  <c r="AW25" i="27"/>
  <c r="AW24" i="27"/>
  <c r="AW23" i="27"/>
  <c r="AW22" i="27"/>
  <c r="AW21" i="27"/>
  <c r="AW20" i="27"/>
  <c r="AW19" i="27"/>
  <c r="AW18" i="27"/>
  <c r="AW17" i="27"/>
  <c r="AW16" i="27"/>
  <c r="AW15" i="27"/>
  <c r="AW14" i="27"/>
  <c r="AW62" i="28"/>
  <c r="AW61" i="28"/>
  <c r="AW55" i="28"/>
  <c r="AW54" i="28"/>
  <c r="AW53" i="28"/>
  <c r="AW52" i="28"/>
  <c r="AW51" i="28"/>
  <c r="AW50" i="28"/>
  <c r="AW49" i="28"/>
  <c r="AW48" i="28"/>
  <c r="AW47" i="28"/>
  <c r="AW46" i="28"/>
  <c r="AW45" i="28"/>
  <c r="AW44" i="28"/>
  <c r="AW43" i="28"/>
  <c r="AW42" i="28"/>
  <c r="AW41" i="28"/>
  <c r="AW40" i="28"/>
  <c r="AW39" i="28"/>
  <c r="AW38" i="28"/>
  <c r="AW37" i="28"/>
  <c r="AW36" i="28"/>
  <c r="AW35" i="28"/>
  <c r="AW34" i="28"/>
  <c r="AW33" i="28"/>
  <c r="AW32" i="28"/>
  <c r="AW31" i="28"/>
  <c r="AW30" i="28"/>
  <c r="AW29" i="28"/>
  <c r="AW28" i="28"/>
  <c r="AW27" i="28"/>
  <c r="AW26" i="28"/>
  <c r="AW25" i="28"/>
  <c r="AW24" i="28"/>
  <c r="AW23" i="28"/>
  <c r="AW22" i="28"/>
  <c r="AW21" i="28"/>
  <c r="AW20" i="28"/>
  <c r="AW19" i="28"/>
  <c r="AW18" i="28"/>
  <c r="AW17" i="28"/>
  <c r="AW16" i="28"/>
  <c r="AW15" i="28"/>
  <c r="AW14" i="28"/>
  <c r="AW62" i="2"/>
  <c r="AW61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9" i="2"/>
  <c r="AW38" i="2"/>
  <c r="AW37" i="2"/>
  <c r="AW36" i="2"/>
  <c r="AW35" i="2"/>
  <c r="AW34" i="2"/>
  <c r="AW33" i="2"/>
  <c r="AW32" i="2"/>
  <c r="AW31" i="2"/>
  <c r="AW30" i="2"/>
  <c r="AW29" i="2"/>
  <c r="AW28" i="2"/>
  <c r="AW27" i="2"/>
  <c r="AW26" i="2"/>
  <c r="AW25" i="2"/>
  <c r="AW24" i="2"/>
  <c r="AW23" i="2"/>
  <c r="AW22" i="2"/>
  <c r="AW21" i="2"/>
  <c r="AW20" i="2"/>
  <c r="AW19" i="2"/>
  <c r="AW18" i="2"/>
  <c r="AW17" i="2"/>
  <c r="AW16" i="2"/>
  <c r="AW15" i="2"/>
  <c r="AW14" i="2"/>
  <c r="AW13" i="27"/>
  <c r="AW13" i="28"/>
  <c r="AW13" i="2"/>
  <c r="AF62" i="27"/>
  <c r="AF61" i="27"/>
  <c r="AF55" i="27"/>
  <c r="AF54" i="27"/>
  <c r="AF53" i="27"/>
  <c r="AF52" i="27"/>
  <c r="AF51" i="27"/>
  <c r="AF50" i="27"/>
  <c r="AF49" i="27"/>
  <c r="AF48" i="27"/>
  <c r="AF47" i="27"/>
  <c r="AF46" i="27"/>
  <c r="AF45" i="27"/>
  <c r="AF44" i="27"/>
  <c r="AF43" i="27"/>
  <c r="AF42" i="27"/>
  <c r="AF41" i="27"/>
  <c r="AF40" i="27"/>
  <c r="AF39" i="27"/>
  <c r="AF38" i="27"/>
  <c r="AF37" i="27"/>
  <c r="AF36" i="27"/>
  <c r="AF35" i="27"/>
  <c r="AF34" i="27"/>
  <c r="AF33" i="27"/>
  <c r="AF32" i="27"/>
  <c r="AF31" i="27"/>
  <c r="AF30" i="27"/>
  <c r="AF29" i="27"/>
  <c r="AF28" i="27"/>
  <c r="AF27" i="27"/>
  <c r="AF26" i="27"/>
  <c r="AF25" i="27"/>
  <c r="AF24" i="27"/>
  <c r="AF23" i="27"/>
  <c r="AF22" i="27"/>
  <c r="AF21" i="27"/>
  <c r="AF20" i="27"/>
  <c r="AF19" i="27"/>
  <c r="AF18" i="27"/>
  <c r="AF17" i="27"/>
  <c r="AF16" i="27"/>
  <c r="AF15" i="27"/>
  <c r="AF14" i="27"/>
  <c r="AF62" i="28"/>
  <c r="AF61" i="28"/>
  <c r="AF55" i="28"/>
  <c r="AF54" i="28"/>
  <c r="AF53" i="28"/>
  <c r="AF52" i="28"/>
  <c r="AF51" i="28"/>
  <c r="AF50" i="28"/>
  <c r="AF49" i="28"/>
  <c r="AF48" i="28"/>
  <c r="AF47" i="28"/>
  <c r="AF46" i="28"/>
  <c r="AF45" i="28"/>
  <c r="AF44" i="28"/>
  <c r="AF43" i="28"/>
  <c r="AF42" i="28"/>
  <c r="AF41" i="28"/>
  <c r="AF40" i="28"/>
  <c r="AF39" i="28"/>
  <c r="AF38" i="28"/>
  <c r="AF37" i="28"/>
  <c r="AF36" i="28"/>
  <c r="AF35" i="28"/>
  <c r="AF34" i="28"/>
  <c r="AF33" i="28"/>
  <c r="AF32" i="28"/>
  <c r="AF31" i="28"/>
  <c r="AF30" i="28"/>
  <c r="AF29" i="28"/>
  <c r="AF28" i="28"/>
  <c r="AF27" i="28"/>
  <c r="AF26" i="28"/>
  <c r="AF25" i="28"/>
  <c r="AF24" i="28"/>
  <c r="AF23" i="28"/>
  <c r="AF22" i="28"/>
  <c r="AF21" i="28"/>
  <c r="AF20" i="28"/>
  <c r="AF19" i="28"/>
  <c r="AF18" i="28"/>
  <c r="AF17" i="28"/>
  <c r="AF16" i="28"/>
  <c r="AF15" i="28"/>
  <c r="AF14" i="28"/>
  <c r="AF62" i="2"/>
  <c r="AF61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AF17" i="2"/>
  <c r="AF16" i="2"/>
  <c r="AF15" i="2"/>
  <c r="AF14" i="2"/>
  <c r="AF13" i="27"/>
  <c r="AF13" i="28"/>
  <c r="AF13" i="2"/>
  <c r="CD8" i="25" l="1"/>
  <c r="CD60" i="25" l="1"/>
  <c r="CD61" i="25"/>
  <c r="CD59" i="25"/>
  <c r="CD57" i="25"/>
  <c r="CD58" i="25"/>
  <c r="E60" i="1"/>
  <c r="E59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58" i="2" l="1"/>
  <c r="O58" i="2" s="1"/>
  <c r="E59" i="25"/>
  <c r="E60" i="2"/>
  <c r="O60" i="2" s="1"/>
  <c r="E61" i="25"/>
  <c r="E57" i="25"/>
  <c r="E56" i="2"/>
  <c r="O56" i="2" s="1"/>
  <c r="E57" i="2"/>
  <c r="O57" i="2" s="1"/>
  <c r="E58" i="25"/>
  <c r="E59" i="2"/>
  <c r="O59" i="2" s="1"/>
  <c r="E60" i="25"/>
  <c r="BY63" i="59"/>
  <c r="BY62" i="59"/>
  <c r="BY56" i="59"/>
  <c r="BY55" i="59"/>
  <c r="BY54" i="59"/>
  <c r="BY53" i="59"/>
  <c r="BY52" i="59"/>
  <c r="BY51" i="59"/>
  <c r="BY50" i="59"/>
  <c r="BY49" i="59"/>
  <c r="BY48" i="59"/>
  <c r="BY47" i="59"/>
  <c r="BY46" i="59"/>
  <c r="BY45" i="59"/>
  <c r="BY44" i="59"/>
  <c r="BY43" i="59"/>
  <c r="BY42" i="59"/>
  <c r="BY41" i="59"/>
  <c r="BY40" i="59"/>
  <c r="BY39" i="59"/>
  <c r="BY38" i="59"/>
  <c r="BY37" i="59"/>
  <c r="BY36" i="59"/>
  <c r="BY35" i="59"/>
  <c r="BY34" i="59"/>
  <c r="BY33" i="59"/>
  <c r="BY32" i="59"/>
  <c r="BY31" i="59"/>
  <c r="BY30" i="59"/>
  <c r="BY29" i="59"/>
  <c r="BY28" i="59"/>
  <c r="BY27" i="59"/>
  <c r="BY26" i="59"/>
  <c r="BY25" i="59"/>
  <c r="BY24" i="59"/>
  <c r="BY23" i="59"/>
  <c r="BY22" i="59"/>
  <c r="BY21" i="59"/>
  <c r="BY20" i="59"/>
  <c r="BY19" i="59"/>
  <c r="BY18" i="59"/>
  <c r="BY17" i="59"/>
  <c r="BY16" i="59"/>
  <c r="BY15" i="59"/>
  <c r="BY63" i="60"/>
  <c r="BY62" i="60"/>
  <c r="BY56" i="60"/>
  <c r="BY55" i="60"/>
  <c r="BY54" i="60"/>
  <c r="BY53" i="60"/>
  <c r="BY52" i="60"/>
  <c r="BY51" i="60"/>
  <c r="BY50" i="60"/>
  <c r="BY49" i="60"/>
  <c r="BY48" i="60"/>
  <c r="BY47" i="60"/>
  <c r="BY46" i="60"/>
  <c r="BY45" i="60"/>
  <c r="BY44" i="60"/>
  <c r="BY43" i="60"/>
  <c r="BY42" i="60"/>
  <c r="BY41" i="60"/>
  <c r="BY40" i="60"/>
  <c r="BY39" i="60"/>
  <c r="BY38" i="60"/>
  <c r="BY37" i="60"/>
  <c r="BY36" i="60"/>
  <c r="BY35" i="60"/>
  <c r="BY34" i="60"/>
  <c r="BY33" i="60"/>
  <c r="BY32" i="60"/>
  <c r="BY31" i="60"/>
  <c r="BY30" i="60"/>
  <c r="BY29" i="60"/>
  <c r="BY28" i="60"/>
  <c r="BY27" i="60"/>
  <c r="BY26" i="60"/>
  <c r="BY25" i="60"/>
  <c r="BY24" i="60"/>
  <c r="BY23" i="60"/>
  <c r="BY22" i="60"/>
  <c r="BY21" i="60"/>
  <c r="BY20" i="60"/>
  <c r="BY19" i="60"/>
  <c r="BY18" i="60"/>
  <c r="BY17" i="60"/>
  <c r="BY16" i="60"/>
  <c r="BY15" i="60"/>
  <c r="BY63" i="25"/>
  <c r="BY62" i="25"/>
  <c r="BY56" i="25"/>
  <c r="BY55" i="25"/>
  <c r="BY54" i="25"/>
  <c r="BY53" i="25"/>
  <c r="BY52" i="25"/>
  <c r="BY51" i="25"/>
  <c r="BY50" i="25"/>
  <c r="BY49" i="25"/>
  <c r="BY48" i="25"/>
  <c r="BY47" i="25"/>
  <c r="BY46" i="25"/>
  <c r="BY45" i="25"/>
  <c r="BY44" i="25"/>
  <c r="BY43" i="25"/>
  <c r="BY42" i="25"/>
  <c r="BY41" i="25"/>
  <c r="BY40" i="25"/>
  <c r="BY39" i="25"/>
  <c r="BY38" i="25"/>
  <c r="BY37" i="25"/>
  <c r="BY36" i="25"/>
  <c r="BY35" i="25"/>
  <c r="BY34" i="25"/>
  <c r="BY33" i="25"/>
  <c r="BY32" i="25"/>
  <c r="BY31" i="25"/>
  <c r="BY30" i="25"/>
  <c r="BY29" i="25"/>
  <c r="BY28" i="25"/>
  <c r="BY27" i="25"/>
  <c r="BY26" i="25"/>
  <c r="BY25" i="25"/>
  <c r="BY24" i="25"/>
  <c r="BY23" i="25"/>
  <c r="BY22" i="25"/>
  <c r="BY21" i="25"/>
  <c r="BY20" i="25"/>
  <c r="BY19" i="25"/>
  <c r="BY18" i="25"/>
  <c r="BY17" i="25"/>
  <c r="BY16" i="25"/>
  <c r="BY15" i="25"/>
  <c r="BX63" i="59"/>
  <c r="BX62" i="59"/>
  <c r="BX56" i="59"/>
  <c r="BX55" i="59"/>
  <c r="BX54" i="59"/>
  <c r="BX53" i="59"/>
  <c r="BX52" i="59"/>
  <c r="BX51" i="59"/>
  <c r="BX50" i="59"/>
  <c r="BX49" i="59"/>
  <c r="BX48" i="59"/>
  <c r="BX47" i="59"/>
  <c r="BX46" i="59"/>
  <c r="BX45" i="59"/>
  <c r="BX44" i="59"/>
  <c r="BX43" i="59"/>
  <c r="BX42" i="59"/>
  <c r="BX41" i="59"/>
  <c r="BX40" i="59"/>
  <c r="BX39" i="59"/>
  <c r="BX38" i="59"/>
  <c r="BX37" i="59"/>
  <c r="BX36" i="59"/>
  <c r="BX35" i="59"/>
  <c r="BX34" i="59"/>
  <c r="BX33" i="59"/>
  <c r="BX32" i="59"/>
  <c r="BX31" i="59"/>
  <c r="BX30" i="59"/>
  <c r="BX29" i="59"/>
  <c r="BX28" i="59"/>
  <c r="BX27" i="59"/>
  <c r="BX26" i="59"/>
  <c r="BX25" i="59"/>
  <c r="BX24" i="59"/>
  <c r="BX23" i="59"/>
  <c r="BX22" i="59"/>
  <c r="BX21" i="59"/>
  <c r="BX20" i="59"/>
  <c r="BX19" i="59"/>
  <c r="BX18" i="59"/>
  <c r="BX17" i="59"/>
  <c r="BX16" i="59"/>
  <c r="BX15" i="59"/>
  <c r="BX63" i="60"/>
  <c r="BX62" i="60"/>
  <c r="BX56" i="60"/>
  <c r="BX55" i="60"/>
  <c r="BX54" i="60"/>
  <c r="BX53" i="60"/>
  <c r="BX52" i="60"/>
  <c r="BX51" i="60"/>
  <c r="BX50" i="60"/>
  <c r="BX49" i="60"/>
  <c r="BX48" i="60"/>
  <c r="BX47" i="60"/>
  <c r="BX46" i="60"/>
  <c r="BX45" i="60"/>
  <c r="BX44" i="60"/>
  <c r="BX43" i="60"/>
  <c r="BX42" i="60"/>
  <c r="BX41" i="60"/>
  <c r="BX40" i="60"/>
  <c r="BX39" i="60"/>
  <c r="BX38" i="60"/>
  <c r="BX37" i="60"/>
  <c r="BX36" i="60"/>
  <c r="BX35" i="60"/>
  <c r="BX34" i="60"/>
  <c r="BX33" i="60"/>
  <c r="BX32" i="60"/>
  <c r="BX31" i="60"/>
  <c r="BX30" i="60"/>
  <c r="BX29" i="60"/>
  <c r="BX28" i="60"/>
  <c r="BX27" i="60"/>
  <c r="BX26" i="60"/>
  <c r="BX25" i="60"/>
  <c r="BX24" i="60"/>
  <c r="BX23" i="60"/>
  <c r="BX22" i="60"/>
  <c r="BX21" i="60"/>
  <c r="BX20" i="60"/>
  <c r="BX19" i="60"/>
  <c r="BX18" i="60"/>
  <c r="BX17" i="60"/>
  <c r="BX16" i="60"/>
  <c r="BX15" i="60"/>
  <c r="BX63" i="25"/>
  <c r="BX62" i="25"/>
  <c r="BX56" i="25"/>
  <c r="BX55" i="25"/>
  <c r="BX54" i="25"/>
  <c r="BX53" i="25"/>
  <c r="BX52" i="25"/>
  <c r="BX51" i="25"/>
  <c r="BX50" i="25"/>
  <c r="BX49" i="25"/>
  <c r="BX48" i="25"/>
  <c r="BX47" i="25"/>
  <c r="BX46" i="25"/>
  <c r="BX45" i="25"/>
  <c r="BX44" i="25"/>
  <c r="BX43" i="25"/>
  <c r="BX42" i="25"/>
  <c r="BX41" i="25"/>
  <c r="BX40" i="25"/>
  <c r="BX39" i="25"/>
  <c r="BX38" i="25"/>
  <c r="BX37" i="25"/>
  <c r="BX36" i="25"/>
  <c r="BX35" i="25"/>
  <c r="BX34" i="25"/>
  <c r="BX33" i="25"/>
  <c r="BX32" i="25"/>
  <c r="BX31" i="25"/>
  <c r="BX30" i="25"/>
  <c r="BX29" i="25"/>
  <c r="BX28" i="25"/>
  <c r="BX27" i="25"/>
  <c r="BX26" i="25"/>
  <c r="BX25" i="25"/>
  <c r="BX24" i="25"/>
  <c r="BX23" i="25"/>
  <c r="BX22" i="25"/>
  <c r="BX21" i="25"/>
  <c r="BX20" i="25"/>
  <c r="BX19" i="25"/>
  <c r="BX18" i="25"/>
  <c r="BX17" i="25"/>
  <c r="BX16" i="25"/>
  <c r="BX15" i="25"/>
  <c r="BY14" i="59"/>
  <c r="BY14" i="60"/>
  <c r="BY14" i="25"/>
  <c r="BX14" i="59"/>
  <c r="BX14" i="60"/>
  <c r="BX14" i="25"/>
  <c r="BM57" i="2" l="1"/>
  <c r="BN57" i="2"/>
  <c r="BM60" i="2"/>
  <c r="BN60" i="2"/>
  <c r="BN56" i="2"/>
  <c r="BM56" i="2"/>
  <c r="BM59" i="2"/>
  <c r="BN59" i="2"/>
  <c r="BN58" i="2"/>
  <c r="BM58" i="2"/>
  <c r="D9" i="62"/>
  <c r="BR59" i="2" l="1"/>
  <c r="CA59" i="2"/>
  <c r="BT58" i="28"/>
  <c r="E57" i="14"/>
  <c r="BO58" i="2"/>
  <c r="BT58" i="27"/>
  <c r="BQ58" i="2"/>
  <c r="BR56" i="2"/>
  <c r="CA56" i="2"/>
  <c r="CA57" i="2"/>
  <c r="BR57" i="2"/>
  <c r="BQ60" i="2"/>
  <c r="E59" i="14"/>
  <c r="BT60" i="28"/>
  <c r="BT60" i="27"/>
  <c r="BO60" i="2"/>
  <c r="E58" i="14"/>
  <c r="BT59" i="27"/>
  <c r="BQ59" i="2"/>
  <c r="BO59" i="2"/>
  <c r="BT59" i="28"/>
  <c r="CA60" i="2"/>
  <c r="BR60" i="2"/>
  <c r="E55" i="14"/>
  <c r="BT56" i="28"/>
  <c r="BO56" i="2"/>
  <c r="BT56" i="27"/>
  <c r="BQ56" i="2"/>
  <c r="BR58" i="2"/>
  <c r="CA58" i="2"/>
  <c r="BQ57" i="2"/>
  <c r="BT57" i="27"/>
  <c r="BT57" i="28"/>
  <c r="E56" i="14"/>
  <c r="BO57" i="2"/>
  <c r="P64" i="25"/>
  <c r="Q64" i="25"/>
  <c r="R64" i="25"/>
  <c r="S64" i="25"/>
  <c r="P64" i="60"/>
  <c r="Q64" i="60"/>
  <c r="R64" i="60"/>
  <c r="S64" i="60"/>
  <c r="P64" i="59"/>
  <c r="Q64" i="59"/>
  <c r="R64" i="59"/>
  <c r="S64" i="59"/>
  <c r="F57" i="14" l="1"/>
  <c r="F58" i="14"/>
  <c r="F59" i="14"/>
  <c r="A63" i="60" l="1"/>
  <c r="A62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63" i="59"/>
  <c r="A62" i="59"/>
  <c r="A56" i="59"/>
  <c r="A55" i="59"/>
  <c r="A54" i="59"/>
  <c r="A53" i="59"/>
  <c r="A52" i="59"/>
  <c r="A51" i="59"/>
  <c r="A50" i="59"/>
  <c r="A49" i="59"/>
  <c r="A48" i="59"/>
  <c r="A47" i="59"/>
  <c r="A46" i="59"/>
  <c r="A45" i="59"/>
  <c r="A44" i="59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60"/>
  <c r="A14" i="59"/>
  <c r="D12" i="76"/>
  <c r="E12" i="76" s="1"/>
  <c r="F12" i="76" s="1"/>
  <c r="G12" i="76" s="1"/>
  <c r="H12" i="76" s="1"/>
  <c r="I12" i="76" s="1"/>
  <c r="J12" i="76" s="1"/>
  <c r="A62" i="27" l="1"/>
  <c r="A61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62" i="28"/>
  <c r="A61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62" i="2"/>
  <c r="A61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7"/>
  <c r="A13" i="28"/>
  <c r="A13" i="2"/>
  <c r="A63" i="25"/>
  <c r="A62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60" i="14" l="1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Y12" i="1" l="1"/>
  <c r="Y60" i="1"/>
  <c r="Y59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AX60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9" i="1"/>
  <c r="AX11" i="1"/>
  <c r="Z12" i="1" l="1"/>
  <c r="R13" i="14"/>
  <c r="Z11" i="1"/>
  <c r="R12" i="14"/>
  <c r="Z15" i="1"/>
  <c r="Z17" i="1"/>
  <c r="Z19" i="1"/>
  <c r="Z21" i="1"/>
  <c r="Z23" i="1"/>
  <c r="Z25" i="1"/>
  <c r="Z27" i="1"/>
  <c r="Z29" i="1"/>
  <c r="Z31" i="1"/>
  <c r="Z33" i="1"/>
  <c r="Z35" i="1"/>
  <c r="Z37" i="1"/>
  <c r="Z39" i="1"/>
  <c r="Z41" i="1"/>
  <c r="Z43" i="1"/>
  <c r="Z45" i="1"/>
  <c r="Z47" i="1"/>
  <c r="Z49" i="1"/>
  <c r="Z51" i="1"/>
  <c r="Z53" i="1"/>
  <c r="CC18" i="25"/>
  <c r="CC20" i="25"/>
  <c r="CC22" i="25"/>
  <c r="CC24" i="25"/>
  <c r="CC26" i="25"/>
  <c r="CC28" i="25"/>
  <c r="CC30" i="25"/>
  <c r="CC32" i="25"/>
  <c r="CC34" i="25"/>
  <c r="CC36" i="25"/>
  <c r="CC38" i="25"/>
  <c r="CC40" i="25"/>
  <c r="CC42" i="25"/>
  <c r="CC44" i="25"/>
  <c r="CC46" i="25"/>
  <c r="CC48" i="25"/>
  <c r="CC50" i="25"/>
  <c r="CC52" i="25"/>
  <c r="CC54" i="25"/>
  <c r="CC56" i="25"/>
  <c r="BP17" i="2"/>
  <c r="BP19" i="2"/>
  <c r="BP21" i="2"/>
  <c r="BP23" i="2"/>
  <c r="BP25" i="2"/>
  <c r="BP27" i="2"/>
  <c r="BP29" i="2"/>
  <c r="BP31" i="2"/>
  <c r="BP33" i="2"/>
  <c r="BP35" i="2"/>
  <c r="BP37" i="2"/>
  <c r="BP39" i="2"/>
  <c r="BP41" i="2"/>
  <c r="BP43" i="2"/>
  <c r="BP45" i="2"/>
  <c r="BP47" i="2"/>
  <c r="BP49" i="2"/>
  <c r="BP51" i="2"/>
  <c r="BP53" i="2"/>
  <c r="BP55" i="2"/>
  <c r="BP17" i="28"/>
  <c r="BP19" i="28"/>
  <c r="BP21" i="28"/>
  <c r="BP23" i="28"/>
  <c r="BP25" i="28"/>
  <c r="BP27" i="28"/>
  <c r="BP29" i="28"/>
  <c r="BP31" i="28"/>
  <c r="BP33" i="28"/>
  <c r="BP35" i="28"/>
  <c r="BP37" i="28"/>
  <c r="BP39" i="28"/>
  <c r="BP41" i="28"/>
  <c r="BP43" i="28"/>
  <c r="BP45" i="28"/>
  <c r="BP47" i="28"/>
  <c r="BP49" i="28"/>
  <c r="BP51" i="28"/>
  <c r="BP53" i="28"/>
  <c r="BP55" i="28"/>
  <c r="BP17" i="27"/>
  <c r="BP19" i="27"/>
  <c r="BP21" i="27"/>
  <c r="BP23" i="27"/>
  <c r="BP25" i="27"/>
  <c r="BP27" i="27"/>
  <c r="BP29" i="27"/>
  <c r="BP31" i="27"/>
  <c r="BP33" i="27"/>
  <c r="BP35" i="27"/>
  <c r="BP37" i="27"/>
  <c r="BP39" i="27"/>
  <c r="BP41" i="27"/>
  <c r="BP43" i="27"/>
  <c r="BP45" i="27"/>
  <c r="BP47" i="27"/>
  <c r="BP49" i="27"/>
  <c r="BP51" i="27"/>
  <c r="BP53" i="27"/>
  <c r="BP55" i="27"/>
  <c r="CC18" i="59"/>
  <c r="CC20" i="59"/>
  <c r="CC22" i="59"/>
  <c r="CC24" i="59"/>
  <c r="CC26" i="59"/>
  <c r="CC28" i="59"/>
  <c r="CC30" i="59"/>
  <c r="CC32" i="59"/>
  <c r="CC34" i="59"/>
  <c r="CC36" i="59"/>
  <c r="CC38" i="59"/>
  <c r="CC40" i="59"/>
  <c r="CC42" i="59"/>
  <c r="CC44" i="59"/>
  <c r="CC46" i="59"/>
  <c r="CC48" i="59"/>
  <c r="CC50" i="59"/>
  <c r="CC52" i="59"/>
  <c r="CC54" i="59"/>
  <c r="CC56" i="59"/>
  <c r="CC18" i="60"/>
  <c r="CC20" i="60"/>
  <c r="CC22" i="60"/>
  <c r="CC24" i="60"/>
  <c r="CC26" i="60"/>
  <c r="CC28" i="60"/>
  <c r="CC30" i="60"/>
  <c r="CC32" i="60"/>
  <c r="CC34" i="60"/>
  <c r="CC36" i="60"/>
  <c r="CC38" i="60"/>
  <c r="CC40" i="60"/>
  <c r="CC42" i="60"/>
  <c r="CC44" i="60"/>
  <c r="CC46" i="60"/>
  <c r="CC48" i="60"/>
  <c r="CC50" i="60"/>
  <c r="CC52" i="60"/>
  <c r="CC54" i="60"/>
  <c r="CC56" i="60"/>
  <c r="Z16" i="1"/>
  <c r="Z18" i="1"/>
  <c r="Z20" i="1"/>
  <c r="Z22" i="1"/>
  <c r="Z24" i="1"/>
  <c r="Z26" i="1"/>
  <c r="Z28" i="1"/>
  <c r="Z30" i="1"/>
  <c r="Z32" i="1"/>
  <c r="Z34" i="1"/>
  <c r="Z36" i="1"/>
  <c r="Z38" i="1"/>
  <c r="Z40" i="1"/>
  <c r="Z42" i="1"/>
  <c r="Z44" i="1"/>
  <c r="Z46" i="1"/>
  <c r="Z48" i="1"/>
  <c r="Z50" i="1"/>
  <c r="Z52" i="1"/>
  <c r="Z59" i="1"/>
  <c r="CC19" i="25"/>
  <c r="CC21" i="25"/>
  <c r="CC23" i="25"/>
  <c r="CC25" i="25"/>
  <c r="CC27" i="25"/>
  <c r="CC29" i="25"/>
  <c r="CC31" i="25"/>
  <c r="CC33" i="25"/>
  <c r="CC35" i="25"/>
  <c r="CC37" i="25"/>
  <c r="CC39" i="25"/>
  <c r="CC41" i="25"/>
  <c r="CC43" i="25"/>
  <c r="CC45" i="25"/>
  <c r="CC47" i="25"/>
  <c r="CC49" i="25"/>
  <c r="CC51" i="25"/>
  <c r="CC53" i="25"/>
  <c r="CC55" i="25"/>
  <c r="CC62" i="25"/>
  <c r="BP18" i="2"/>
  <c r="BP20" i="2"/>
  <c r="BP22" i="2"/>
  <c r="BP24" i="2"/>
  <c r="BP26" i="2"/>
  <c r="BP28" i="2"/>
  <c r="BP30" i="2"/>
  <c r="BP32" i="2"/>
  <c r="BP34" i="2"/>
  <c r="BP36" i="2"/>
  <c r="BP38" i="2"/>
  <c r="BP40" i="2"/>
  <c r="BP42" i="2"/>
  <c r="BP44" i="2"/>
  <c r="BP46" i="2"/>
  <c r="BP48" i="2"/>
  <c r="BP50" i="2"/>
  <c r="BP52" i="2"/>
  <c r="BP54" i="2"/>
  <c r="BP61" i="2"/>
  <c r="BP18" i="28"/>
  <c r="BP20" i="28"/>
  <c r="BP22" i="28"/>
  <c r="BP24" i="28"/>
  <c r="BP26" i="28"/>
  <c r="BP28" i="28"/>
  <c r="BP30" i="28"/>
  <c r="BP32" i="28"/>
  <c r="BP34" i="28"/>
  <c r="BP36" i="28"/>
  <c r="BP38" i="28"/>
  <c r="BP40" i="28"/>
  <c r="BP42" i="28"/>
  <c r="BP44" i="28"/>
  <c r="BP46" i="28"/>
  <c r="BP48" i="28"/>
  <c r="BP50" i="28"/>
  <c r="BP52" i="28"/>
  <c r="BP54" i="28"/>
  <c r="BP61" i="28"/>
  <c r="BP18" i="27"/>
  <c r="BP20" i="27"/>
  <c r="BP22" i="27"/>
  <c r="BP24" i="27"/>
  <c r="BP26" i="27"/>
  <c r="BP28" i="27"/>
  <c r="BP30" i="27"/>
  <c r="BP32" i="27"/>
  <c r="BP34" i="27"/>
  <c r="BP36" i="27"/>
  <c r="BP38" i="27"/>
  <c r="BP40" i="27"/>
  <c r="BP42" i="27"/>
  <c r="BP44" i="27"/>
  <c r="BP46" i="27"/>
  <c r="BP48" i="27"/>
  <c r="BP50" i="27"/>
  <c r="BP52" i="27"/>
  <c r="BP54" i="27"/>
  <c r="BP61" i="27"/>
  <c r="CC19" i="59"/>
  <c r="CC21" i="59"/>
  <c r="CC23" i="59"/>
  <c r="CC25" i="59"/>
  <c r="CC27" i="59"/>
  <c r="CC29" i="59"/>
  <c r="CC31" i="59"/>
  <c r="CC33" i="59"/>
  <c r="CC35" i="59"/>
  <c r="CC37" i="59"/>
  <c r="CC39" i="59"/>
  <c r="CC41" i="59"/>
  <c r="CC43" i="59"/>
  <c r="CC45" i="59"/>
  <c r="CC47" i="59"/>
  <c r="CC49" i="59"/>
  <c r="CC51" i="59"/>
  <c r="CC53" i="59"/>
  <c r="CC55" i="59"/>
  <c r="CC62" i="59"/>
  <c r="CC19" i="60"/>
  <c r="CC21" i="60"/>
  <c r="CC23" i="60"/>
  <c r="CC25" i="60"/>
  <c r="CC27" i="60"/>
  <c r="CC29" i="60"/>
  <c r="CC31" i="60"/>
  <c r="CC33" i="60"/>
  <c r="CC35" i="60"/>
  <c r="CC37" i="60"/>
  <c r="CC39" i="60"/>
  <c r="CC41" i="60"/>
  <c r="CC43" i="60"/>
  <c r="CC45" i="60"/>
  <c r="CC47" i="60"/>
  <c r="CC49" i="60"/>
  <c r="CC51" i="60"/>
  <c r="CC53" i="60"/>
  <c r="CC55" i="60"/>
  <c r="CC62" i="60"/>
  <c r="CC63" i="25"/>
  <c r="BP62" i="28"/>
  <c r="CC63" i="59"/>
  <c r="Z60" i="1"/>
  <c r="BP62" i="2"/>
  <c r="BP62" i="27"/>
  <c r="CC63" i="60"/>
  <c r="Z14" i="1"/>
  <c r="CC17" i="25"/>
  <c r="BP16" i="2"/>
  <c r="BP16" i="28"/>
  <c r="BP16" i="27"/>
  <c r="CC17" i="59"/>
  <c r="CC17" i="60"/>
  <c r="CC16" i="60"/>
  <c r="Z13" i="1"/>
  <c r="CC15" i="25"/>
  <c r="CB13" i="27"/>
  <c r="CB13" i="2"/>
  <c r="CM14" i="25"/>
  <c r="CC14" i="25"/>
  <c r="CC16" i="25"/>
  <c r="BP13" i="28"/>
  <c r="BP14" i="2"/>
  <c r="BP14" i="28"/>
  <c r="BP14" i="27"/>
  <c r="CC14" i="59"/>
  <c r="CC15" i="59"/>
  <c r="CC15" i="60"/>
  <c r="BP13" i="2"/>
  <c r="BP13" i="27"/>
  <c r="BP15" i="2"/>
  <c r="BP15" i="28"/>
  <c r="BP15" i="27"/>
  <c r="CC14" i="60"/>
  <c r="CC16" i="59"/>
  <c r="R61" i="14"/>
  <c r="R60" i="14"/>
  <c r="R54" i="14"/>
  <c r="R53" i="14"/>
  <c r="R52" i="14"/>
  <c r="R51" i="14"/>
  <c r="R50" i="14"/>
  <c r="R49" i="14"/>
  <c r="R48" i="14"/>
  <c r="R47" i="14"/>
  <c r="R46" i="14"/>
  <c r="R45" i="14"/>
  <c r="R44" i="14"/>
  <c r="R43" i="14"/>
  <c r="R42" i="14"/>
  <c r="R41" i="14"/>
  <c r="R40" i="14"/>
  <c r="R39" i="14"/>
  <c r="R38" i="14"/>
  <c r="R37" i="14"/>
  <c r="R36" i="14"/>
  <c r="R35" i="14"/>
  <c r="R34" i="14"/>
  <c r="R33" i="14"/>
  <c r="R32" i="14"/>
  <c r="R31" i="14"/>
  <c r="R30" i="14"/>
  <c r="R29" i="14"/>
  <c r="R28" i="14"/>
  <c r="R27" i="14"/>
  <c r="R26" i="14"/>
  <c r="R25" i="14"/>
  <c r="R24" i="14"/>
  <c r="R23" i="14"/>
  <c r="R22" i="14"/>
  <c r="R21" i="14"/>
  <c r="R20" i="14"/>
  <c r="R19" i="14"/>
  <c r="R18" i="14"/>
  <c r="R17" i="14"/>
  <c r="R16" i="14"/>
  <c r="R15" i="14"/>
  <c r="R14" i="14"/>
  <c r="CM15" i="60" l="1"/>
  <c r="CC64" i="25"/>
  <c r="CB14" i="2"/>
  <c r="CM15" i="25"/>
  <c r="CB14" i="28"/>
  <c r="S13" i="14"/>
  <c r="CM15" i="59"/>
  <c r="CB14" i="27"/>
  <c r="CC64" i="60"/>
  <c r="CC64" i="59"/>
  <c r="CB13" i="28"/>
  <c r="CM14" i="60"/>
  <c r="S12" i="14"/>
  <c r="CM14" i="59"/>
  <c r="E81" i="14"/>
  <c r="CM62" i="60"/>
  <c r="CM62" i="59"/>
  <c r="CB61" i="27"/>
  <c r="CB61" i="28"/>
  <c r="CB61" i="2"/>
  <c r="CM62" i="25"/>
  <c r="S60" i="14"/>
  <c r="CM53" i="60"/>
  <c r="CM53" i="59"/>
  <c r="CB52" i="27"/>
  <c r="CB52" i="28"/>
  <c r="CB52" i="2"/>
  <c r="CM53" i="25"/>
  <c r="S51" i="14"/>
  <c r="CM49" i="60"/>
  <c r="CM49" i="59"/>
  <c r="CB48" i="27"/>
  <c r="CB48" i="28"/>
  <c r="CB48" i="2"/>
  <c r="CM49" i="25"/>
  <c r="S47" i="14"/>
  <c r="CM45" i="60"/>
  <c r="CM45" i="59"/>
  <c r="CB44" i="27"/>
  <c r="CB44" i="28"/>
  <c r="CM45" i="25"/>
  <c r="CB44" i="2"/>
  <c r="S43" i="14"/>
  <c r="CM41" i="60"/>
  <c r="CM41" i="59"/>
  <c r="CB40" i="27"/>
  <c r="CB40" i="28"/>
  <c r="CM41" i="25"/>
  <c r="CB40" i="2"/>
  <c r="S39" i="14"/>
  <c r="CM37" i="60"/>
  <c r="CM37" i="59"/>
  <c r="CB36" i="27"/>
  <c r="CB36" i="28"/>
  <c r="CM37" i="25"/>
  <c r="CB36" i="2"/>
  <c r="S35" i="14"/>
  <c r="CM33" i="60"/>
  <c r="CM33" i="59"/>
  <c r="CB32" i="27"/>
  <c r="CB32" i="28"/>
  <c r="CM33" i="25"/>
  <c r="CB32" i="2"/>
  <c r="S31" i="14"/>
  <c r="CM29" i="60"/>
  <c r="CM29" i="59"/>
  <c r="CB28" i="27"/>
  <c r="CB28" i="28"/>
  <c r="CM29" i="25"/>
  <c r="CB28" i="2"/>
  <c r="S27" i="14"/>
  <c r="CM25" i="60"/>
  <c r="CM25" i="59"/>
  <c r="CB24" i="27"/>
  <c r="CB24" i="28"/>
  <c r="CM25" i="25"/>
  <c r="CB24" i="2"/>
  <c r="S23" i="14"/>
  <c r="CM21" i="60"/>
  <c r="CM21" i="59"/>
  <c r="CB20" i="27"/>
  <c r="CB20" i="28"/>
  <c r="CM21" i="25"/>
  <c r="CB20" i="2"/>
  <c r="S19" i="14"/>
  <c r="CB55" i="27"/>
  <c r="CB55" i="28"/>
  <c r="CB55" i="2"/>
  <c r="CM56" i="60"/>
  <c r="CM56" i="59"/>
  <c r="CM56" i="25"/>
  <c r="S54" i="14"/>
  <c r="CB51" i="27"/>
  <c r="CB51" i="28"/>
  <c r="CB51" i="2"/>
  <c r="CM52" i="60"/>
  <c r="CM52" i="59"/>
  <c r="CM52" i="25"/>
  <c r="S50" i="14"/>
  <c r="CB47" i="27"/>
  <c r="CB47" i="28"/>
  <c r="CB47" i="2"/>
  <c r="CM48" i="60"/>
  <c r="CM48" i="59"/>
  <c r="CM48" i="25"/>
  <c r="S46" i="14"/>
  <c r="CB43" i="27"/>
  <c r="CB43" i="28"/>
  <c r="CM44" i="60"/>
  <c r="CM44" i="59"/>
  <c r="CB43" i="2"/>
  <c r="CM44" i="25"/>
  <c r="S42" i="14"/>
  <c r="CB39" i="27"/>
  <c r="CB39" i="28"/>
  <c r="CM40" i="60"/>
  <c r="CM40" i="59"/>
  <c r="CB39" i="2"/>
  <c r="CM40" i="25"/>
  <c r="S38" i="14"/>
  <c r="CB35" i="27"/>
  <c r="CB35" i="28"/>
  <c r="CM36" i="60"/>
  <c r="CM36" i="59"/>
  <c r="CB35" i="2"/>
  <c r="CM36" i="25"/>
  <c r="S34" i="14"/>
  <c r="CB31" i="27"/>
  <c r="CB31" i="28"/>
  <c r="CM32" i="60"/>
  <c r="CM32" i="59"/>
  <c r="CB31" i="2"/>
  <c r="CM32" i="25"/>
  <c r="S30" i="14"/>
  <c r="CB27" i="27"/>
  <c r="CB27" i="28"/>
  <c r="CM28" i="60"/>
  <c r="CM28" i="59"/>
  <c r="CB27" i="2"/>
  <c r="CM28" i="25"/>
  <c r="S26" i="14"/>
  <c r="CB23" i="27"/>
  <c r="CB23" i="28"/>
  <c r="CM24" i="60"/>
  <c r="CM24" i="59"/>
  <c r="CB23" i="2"/>
  <c r="CM24" i="25"/>
  <c r="S22" i="14"/>
  <c r="CB19" i="27"/>
  <c r="CB19" i="28"/>
  <c r="CM20" i="60"/>
  <c r="CM20" i="59"/>
  <c r="CB19" i="2"/>
  <c r="CM20" i="25"/>
  <c r="S18" i="14"/>
  <c r="CM55" i="60"/>
  <c r="CM55" i="59"/>
  <c r="CB54" i="27"/>
  <c r="CB54" i="28"/>
  <c r="CB54" i="2"/>
  <c r="CM55" i="25"/>
  <c r="S53" i="14"/>
  <c r="CM51" i="60"/>
  <c r="CM51" i="59"/>
  <c r="CB50" i="27"/>
  <c r="CB50" i="28"/>
  <c r="CB50" i="2"/>
  <c r="CM51" i="25"/>
  <c r="S49" i="14"/>
  <c r="CM47" i="60"/>
  <c r="CM47" i="59"/>
  <c r="CB46" i="27"/>
  <c r="CB46" i="28"/>
  <c r="CM47" i="25"/>
  <c r="CB46" i="2"/>
  <c r="S45" i="14"/>
  <c r="CM43" i="60"/>
  <c r="CM43" i="59"/>
  <c r="CB42" i="27"/>
  <c r="CB42" i="28"/>
  <c r="CM43" i="25"/>
  <c r="CB42" i="2"/>
  <c r="S41" i="14"/>
  <c r="CM39" i="60"/>
  <c r="CM39" i="59"/>
  <c r="CB38" i="27"/>
  <c r="CB38" i="28"/>
  <c r="CM39" i="25"/>
  <c r="CB38" i="2"/>
  <c r="S37" i="14"/>
  <c r="CM35" i="60"/>
  <c r="CM35" i="59"/>
  <c r="CB34" i="27"/>
  <c r="CB34" i="28"/>
  <c r="CM35" i="25"/>
  <c r="CB34" i="2"/>
  <c r="S33" i="14"/>
  <c r="CM31" i="60"/>
  <c r="CM31" i="59"/>
  <c r="CB30" i="27"/>
  <c r="CB30" i="28"/>
  <c r="CM31" i="25"/>
  <c r="CB30" i="2"/>
  <c r="S29" i="14"/>
  <c r="CM27" i="60"/>
  <c r="CM27" i="59"/>
  <c r="CB26" i="27"/>
  <c r="CB26" i="28"/>
  <c r="CM27" i="25"/>
  <c r="CB26" i="2"/>
  <c r="S25" i="14"/>
  <c r="CM23" i="60"/>
  <c r="CM23" i="59"/>
  <c r="CB22" i="27"/>
  <c r="CB22" i="28"/>
  <c r="CM23" i="25"/>
  <c r="CB22" i="2"/>
  <c r="S21" i="14"/>
  <c r="CM19" i="60"/>
  <c r="CM19" i="59"/>
  <c r="CB18" i="27"/>
  <c r="CB18" i="28"/>
  <c r="CM19" i="25"/>
  <c r="CB18" i="2"/>
  <c r="S17" i="14"/>
  <c r="CB53" i="27"/>
  <c r="CB53" i="28"/>
  <c r="CB53" i="2"/>
  <c r="CM54" i="60"/>
  <c r="CM54" i="59"/>
  <c r="CM54" i="25"/>
  <c r="S52" i="14"/>
  <c r="CB49" i="27"/>
  <c r="CB49" i="28"/>
  <c r="CB49" i="2"/>
  <c r="CM50" i="60"/>
  <c r="CM50" i="59"/>
  <c r="CM50" i="25"/>
  <c r="S48" i="14"/>
  <c r="CB45" i="27"/>
  <c r="CB45" i="28"/>
  <c r="CM46" i="60"/>
  <c r="CM46" i="59"/>
  <c r="CB45" i="2"/>
  <c r="CM46" i="25"/>
  <c r="S44" i="14"/>
  <c r="CB41" i="27"/>
  <c r="CB41" i="28"/>
  <c r="CM42" i="60"/>
  <c r="CM42" i="59"/>
  <c r="CB41" i="2"/>
  <c r="CM42" i="25"/>
  <c r="S40" i="14"/>
  <c r="CB37" i="27"/>
  <c r="CB37" i="28"/>
  <c r="CM38" i="60"/>
  <c r="CM38" i="59"/>
  <c r="CB37" i="2"/>
  <c r="CM38" i="25"/>
  <c r="S36" i="14"/>
  <c r="CB33" i="27"/>
  <c r="CB33" i="28"/>
  <c r="CM34" i="60"/>
  <c r="CM34" i="59"/>
  <c r="CB33" i="2"/>
  <c r="CM34" i="25"/>
  <c r="S32" i="14"/>
  <c r="CB29" i="27"/>
  <c r="CB29" i="28"/>
  <c r="CM30" i="60"/>
  <c r="CM30" i="59"/>
  <c r="CB29" i="2"/>
  <c r="CM30" i="25"/>
  <c r="S28" i="14"/>
  <c r="CB25" i="27"/>
  <c r="CB25" i="28"/>
  <c r="CM26" i="60"/>
  <c r="CM26" i="59"/>
  <c r="CB25" i="2"/>
  <c r="CM26" i="25"/>
  <c r="S24" i="14"/>
  <c r="CB21" i="27"/>
  <c r="CB21" i="28"/>
  <c r="CM22" i="60"/>
  <c r="CM22" i="59"/>
  <c r="CB21" i="2"/>
  <c r="CM22" i="25"/>
  <c r="S20" i="14"/>
  <c r="CB17" i="27"/>
  <c r="CB17" i="28"/>
  <c r="CM18" i="60"/>
  <c r="CM18" i="59"/>
  <c r="CB17" i="2"/>
  <c r="CM18" i="25"/>
  <c r="S16" i="14"/>
  <c r="CM63" i="60"/>
  <c r="CB62" i="28"/>
  <c r="CM63" i="59"/>
  <c r="CB62" i="27"/>
  <c r="CB62" i="2"/>
  <c r="CM63" i="25"/>
  <c r="S61" i="14"/>
  <c r="CB16" i="27"/>
  <c r="CB16" i="28"/>
  <c r="CB16" i="2"/>
  <c r="CM17" i="25"/>
  <c r="CM17" i="60"/>
  <c r="CM17" i="59"/>
  <c r="S15" i="14"/>
  <c r="CM16" i="60"/>
  <c r="CB15" i="28"/>
  <c r="CM16" i="59"/>
  <c r="CB15" i="27"/>
  <c r="CB15" i="2"/>
  <c r="CM16" i="25"/>
  <c r="S14" i="14"/>
  <c r="B17" i="25"/>
  <c r="E80" i="14" l="1"/>
  <c r="E82" i="14" s="1"/>
  <c r="F80" i="14" s="1"/>
  <c r="BW64" i="59"/>
  <c r="BV64" i="59"/>
  <c r="AF64" i="59"/>
  <c r="AE64" i="59"/>
  <c r="AD64" i="59"/>
  <c r="AC64" i="59"/>
  <c r="AB64" i="59"/>
  <c r="AA64" i="59"/>
  <c r="Z64" i="59"/>
  <c r="Y64" i="59"/>
  <c r="X64" i="59"/>
  <c r="W64" i="59"/>
  <c r="V64" i="59"/>
  <c r="U64" i="59"/>
  <c r="T64" i="59"/>
  <c r="O64" i="59"/>
  <c r="N64" i="59"/>
  <c r="BW64" i="60"/>
  <c r="BV64" i="60"/>
  <c r="AF64" i="60"/>
  <c r="AE64" i="60"/>
  <c r="AD64" i="60"/>
  <c r="AC64" i="60"/>
  <c r="AB64" i="60"/>
  <c r="AA64" i="60"/>
  <c r="Z64" i="60"/>
  <c r="Y64" i="60"/>
  <c r="X64" i="60"/>
  <c r="W64" i="60"/>
  <c r="V64" i="60"/>
  <c r="U64" i="60"/>
  <c r="T64" i="60"/>
  <c r="O64" i="60"/>
  <c r="N64" i="60"/>
  <c r="BW64" i="25"/>
  <c r="BV64" i="25"/>
  <c r="AF64" i="25"/>
  <c r="AE64" i="25"/>
  <c r="AD64" i="25"/>
  <c r="AC64" i="25"/>
  <c r="AB64" i="25"/>
  <c r="AA64" i="25"/>
  <c r="Z64" i="25"/>
  <c r="Y64" i="25"/>
  <c r="X64" i="25"/>
  <c r="W64" i="25"/>
  <c r="V64" i="25"/>
  <c r="U64" i="25"/>
  <c r="T64" i="25"/>
  <c r="O64" i="25"/>
  <c r="N64" i="25"/>
  <c r="F81" i="14" l="1"/>
  <c r="F82" i="14"/>
  <c r="CD8" i="59" l="1"/>
  <c r="CD8" i="60"/>
  <c r="CD59" i="60" l="1"/>
  <c r="CD60" i="60"/>
  <c r="CD61" i="60"/>
  <c r="CD58" i="60"/>
  <c r="CD57" i="60"/>
  <c r="CD57" i="59"/>
  <c r="CD61" i="59"/>
  <c r="CD58" i="59"/>
  <c r="CD60" i="59"/>
  <c r="CD59" i="59"/>
  <c r="B12" i="14"/>
  <c r="E58" i="60" l="1"/>
  <c r="E57" i="28"/>
  <c r="O57" i="28" s="1"/>
  <c r="E61" i="59"/>
  <c r="E60" i="27"/>
  <c r="O60" i="27" s="1"/>
  <c r="E60" i="28"/>
  <c r="O60" i="28" s="1"/>
  <c r="E61" i="60"/>
  <c r="E59" i="59"/>
  <c r="E58" i="27"/>
  <c r="O58" i="27" s="1"/>
  <c r="E59" i="28"/>
  <c r="O59" i="28" s="1"/>
  <c r="E60" i="60"/>
  <c r="E57" i="27"/>
  <c r="O57" i="27" s="1"/>
  <c r="E58" i="59"/>
  <c r="E57" i="59"/>
  <c r="E56" i="27"/>
  <c r="O56" i="27" s="1"/>
  <c r="E60" i="59"/>
  <c r="E59" i="27"/>
  <c r="O59" i="27" s="1"/>
  <c r="E56" i="28"/>
  <c r="O56" i="28" s="1"/>
  <c r="E57" i="60"/>
  <c r="E58" i="28"/>
  <c r="O58" i="28" s="1"/>
  <c r="E59" i="60"/>
  <c r="C3" i="1"/>
  <c r="BN56" i="28" l="1"/>
  <c r="BM56" i="28"/>
  <c r="BN59" i="27"/>
  <c r="BM59" i="27"/>
  <c r="BN58" i="27"/>
  <c r="BM58" i="27"/>
  <c r="BM60" i="27"/>
  <c r="BN60" i="27"/>
  <c r="BN58" i="28"/>
  <c r="BM58" i="28"/>
  <c r="BN57" i="27"/>
  <c r="BM57" i="27"/>
  <c r="BM56" i="27"/>
  <c r="BN56" i="27"/>
  <c r="BN57" i="28"/>
  <c r="BM57" i="28"/>
  <c r="BM59" i="28"/>
  <c r="BN59" i="28"/>
  <c r="BM60" i="28"/>
  <c r="BN60" i="28"/>
  <c r="B3" i="76"/>
  <c r="B13" i="2"/>
  <c r="CA60" i="27" l="1"/>
  <c r="BR60" i="27"/>
  <c r="BQ57" i="28"/>
  <c r="BO57" i="28"/>
  <c r="I56" i="14"/>
  <c r="BU56" i="28"/>
  <c r="BV56" i="28" s="1"/>
  <c r="BO56" i="27"/>
  <c r="BQ56" i="27"/>
  <c r="G55" i="14"/>
  <c r="CA58" i="27"/>
  <c r="BR58" i="27"/>
  <c r="BO56" i="28"/>
  <c r="BQ56" i="28"/>
  <c r="I55" i="14"/>
  <c r="BR56" i="27"/>
  <c r="CA56" i="27"/>
  <c r="BR59" i="28"/>
  <c r="CA59" i="28"/>
  <c r="BO59" i="27"/>
  <c r="BU59" i="28"/>
  <c r="BV59" i="28" s="1"/>
  <c r="G58" i="14"/>
  <c r="BQ59" i="27"/>
  <c r="BO60" i="28"/>
  <c r="I59" i="14"/>
  <c r="J59" i="14" s="1"/>
  <c r="BQ60" i="28"/>
  <c r="BR57" i="27"/>
  <c r="CA57" i="27"/>
  <c r="BR57" i="28"/>
  <c r="CA57" i="28"/>
  <c r="I57" i="14"/>
  <c r="J57" i="14" s="1"/>
  <c r="BQ58" i="28"/>
  <c r="BO58" i="28"/>
  <c r="BO60" i="27"/>
  <c r="G59" i="14"/>
  <c r="BQ60" i="27"/>
  <c r="BU60" i="28"/>
  <c r="BV60" i="28" s="1"/>
  <c r="CA60" i="28"/>
  <c r="BR60" i="28"/>
  <c r="I58" i="14"/>
  <c r="J58" i="14" s="1"/>
  <c r="BQ59" i="28"/>
  <c r="BO59" i="28"/>
  <c r="G56" i="14"/>
  <c r="BU57" i="28"/>
  <c r="BV57" i="28" s="1"/>
  <c r="BO57" i="27"/>
  <c r="BQ57" i="27"/>
  <c r="CA58" i="28"/>
  <c r="BR58" i="28"/>
  <c r="BU58" i="28"/>
  <c r="BV58" i="28" s="1"/>
  <c r="BO58" i="27"/>
  <c r="G57" i="14"/>
  <c r="BQ58" i="27"/>
  <c r="BR59" i="27"/>
  <c r="CA59" i="27"/>
  <c r="BR56" i="28"/>
  <c r="CA56" i="28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9" i="1"/>
  <c r="AK59" i="1"/>
  <c r="AJ60" i="1"/>
  <c r="AK60" i="1"/>
  <c r="AK11" i="1"/>
  <c r="AJ11" i="1"/>
  <c r="AH15" i="1"/>
  <c r="AI15" i="1"/>
  <c r="AH16" i="1"/>
  <c r="AI16" i="1"/>
  <c r="AH17" i="1"/>
  <c r="AI17" i="1"/>
  <c r="AH18" i="1"/>
  <c r="AI18" i="1"/>
  <c r="AH19" i="1"/>
  <c r="AI19" i="1"/>
  <c r="AH20" i="1"/>
  <c r="AI20" i="1"/>
  <c r="AH21" i="1"/>
  <c r="AI21" i="1"/>
  <c r="AH22" i="1"/>
  <c r="AI22" i="1"/>
  <c r="AH23" i="1"/>
  <c r="AI23" i="1"/>
  <c r="AH24" i="1"/>
  <c r="AI24" i="1"/>
  <c r="AH25" i="1"/>
  <c r="AI25" i="1"/>
  <c r="AH26" i="1"/>
  <c r="AI26" i="1"/>
  <c r="AH27" i="1"/>
  <c r="AI27" i="1"/>
  <c r="AH28" i="1"/>
  <c r="AI28" i="1"/>
  <c r="AH29" i="1"/>
  <c r="AI29" i="1"/>
  <c r="AH30" i="1"/>
  <c r="AI30" i="1"/>
  <c r="AH31" i="1"/>
  <c r="AI31" i="1"/>
  <c r="AH32" i="1"/>
  <c r="AI32" i="1"/>
  <c r="AH33" i="1"/>
  <c r="AI33" i="1"/>
  <c r="AH34" i="1"/>
  <c r="AI34" i="1"/>
  <c r="AH35" i="1"/>
  <c r="AI35" i="1"/>
  <c r="AH36" i="1"/>
  <c r="AI36" i="1"/>
  <c r="AH37" i="1"/>
  <c r="AI37" i="1"/>
  <c r="AH38" i="1"/>
  <c r="AI38" i="1"/>
  <c r="AH39" i="1"/>
  <c r="AI39" i="1"/>
  <c r="AH40" i="1"/>
  <c r="AI40" i="1"/>
  <c r="AH41" i="1"/>
  <c r="AI41" i="1"/>
  <c r="AH42" i="1"/>
  <c r="AI42" i="1"/>
  <c r="AH43" i="1"/>
  <c r="AI43" i="1"/>
  <c r="AH44" i="1"/>
  <c r="AI44" i="1"/>
  <c r="AH45" i="1"/>
  <c r="AI45" i="1"/>
  <c r="AH46" i="1"/>
  <c r="AI46" i="1"/>
  <c r="AH47" i="1"/>
  <c r="AI47" i="1"/>
  <c r="AH48" i="1"/>
  <c r="AI48" i="1"/>
  <c r="AH49" i="1"/>
  <c r="AI49" i="1"/>
  <c r="AH50" i="1"/>
  <c r="AI50" i="1"/>
  <c r="AH51" i="1"/>
  <c r="AI51" i="1"/>
  <c r="AH52" i="1"/>
  <c r="AI52" i="1"/>
  <c r="AH53" i="1"/>
  <c r="AI53" i="1"/>
  <c r="AH59" i="1"/>
  <c r="AI59" i="1"/>
  <c r="AH60" i="1"/>
  <c r="AI60" i="1"/>
  <c r="AH12" i="1"/>
  <c r="AI12" i="1"/>
  <c r="AH13" i="1"/>
  <c r="AI13" i="1"/>
  <c r="AH14" i="1"/>
  <c r="AI14" i="1"/>
  <c r="AI11" i="1"/>
  <c r="AH11" i="1"/>
  <c r="AI62" i="1" l="1"/>
  <c r="H57" i="14"/>
  <c r="L57" i="14"/>
  <c r="H59" i="14"/>
  <c r="L59" i="14"/>
  <c r="H58" i="14"/>
  <c r="L58" i="14"/>
  <c r="AJ62" i="1"/>
  <c r="AH62" i="1"/>
  <c r="AK62" i="1"/>
  <c r="C13" i="76"/>
  <c r="E13" i="76"/>
  <c r="G13" i="76"/>
  <c r="I13" i="76"/>
  <c r="D14" i="76"/>
  <c r="F14" i="76"/>
  <c r="H14" i="76"/>
  <c r="J14" i="76"/>
  <c r="D13" i="76"/>
  <c r="F13" i="76"/>
  <c r="H13" i="76"/>
  <c r="J13" i="76"/>
  <c r="C14" i="76"/>
  <c r="E14" i="76"/>
  <c r="G14" i="76"/>
  <c r="I14" i="76"/>
  <c r="M58" i="14" l="1"/>
  <c r="O58" i="14"/>
  <c r="U58" i="14"/>
  <c r="Q58" i="14"/>
  <c r="AB58" i="14"/>
  <c r="M59" i="14"/>
  <c r="Q59" i="14"/>
  <c r="O59" i="14"/>
  <c r="U59" i="14"/>
  <c r="AB59" i="14"/>
  <c r="O57" i="14"/>
  <c r="Q57" i="14"/>
  <c r="AB57" i="14"/>
  <c r="U57" i="14"/>
  <c r="M57" i="14"/>
  <c r="L14" i="76"/>
  <c r="L13" i="76"/>
  <c r="J15" i="76"/>
  <c r="H15" i="76"/>
  <c r="D15" i="76"/>
  <c r="F15" i="76"/>
  <c r="G15" i="76"/>
  <c r="C15" i="76"/>
  <c r="I15" i="76"/>
  <c r="E15" i="76"/>
  <c r="AF60" i="1"/>
  <c r="AG60" i="1"/>
  <c r="AS60" i="1"/>
  <c r="B61" i="14"/>
  <c r="B62" i="27"/>
  <c r="B62" i="28"/>
  <c r="B62" i="2"/>
  <c r="B63" i="59"/>
  <c r="BZ63" i="59"/>
  <c r="CA63" i="59"/>
  <c r="B63" i="60"/>
  <c r="BZ63" i="60"/>
  <c r="CA63" i="60"/>
  <c r="B63" i="25"/>
  <c r="BZ63" i="25"/>
  <c r="CA63" i="25"/>
  <c r="B60" i="14"/>
  <c r="CD63" i="59" l="1"/>
  <c r="E63" i="59" s="1"/>
  <c r="CD63" i="60"/>
  <c r="E63" i="60" s="1"/>
  <c r="CD63" i="25"/>
  <c r="E63" i="25" s="1"/>
  <c r="L15" i="76"/>
  <c r="CB63" i="59"/>
  <c r="CB63" i="25"/>
  <c r="CB63" i="60"/>
  <c r="AL60" i="1"/>
  <c r="CA62" i="59"/>
  <c r="CA56" i="59"/>
  <c r="CA55" i="59"/>
  <c r="CA54" i="59"/>
  <c r="CA53" i="59"/>
  <c r="CA52" i="59"/>
  <c r="CA51" i="59"/>
  <c r="CA50" i="59"/>
  <c r="CA49" i="59"/>
  <c r="CA48" i="59"/>
  <c r="CA47" i="59"/>
  <c r="CA46" i="59"/>
  <c r="CA45" i="59"/>
  <c r="CA44" i="59"/>
  <c r="CA43" i="59"/>
  <c r="CA42" i="59"/>
  <c r="CA41" i="59"/>
  <c r="CA40" i="59"/>
  <c r="CA39" i="59"/>
  <c r="CA38" i="59"/>
  <c r="CA37" i="59"/>
  <c r="CA36" i="59"/>
  <c r="CA35" i="59"/>
  <c r="CA34" i="59"/>
  <c r="CA33" i="59"/>
  <c r="CA32" i="59"/>
  <c r="CA31" i="59"/>
  <c r="CA30" i="59"/>
  <c r="CA29" i="59"/>
  <c r="CA28" i="59"/>
  <c r="CA27" i="59"/>
  <c r="CA26" i="59"/>
  <c r="CA25" i="59"/>
  <c r="CA24" i="59"/>
  <c r="CA23" i="59"/>
  <c r="CA22" i="59"/>
  <c r="CA21" i="59"/>
  <c r="CA20" i="59"/>
  <c r="CA19" i="59"/>
  <c r="CA18" i="59"/>
  <c r="CA17" i="59"/>
  <c r="CA16" i="59"/>
  <c r="CA15" i="59"/>
  <c r="CA14" i="59"/>
  <c r="E62" i="28" l="1"/>
  <c r="O62" i="28" s="1"/>
  <c r="E62" i="2"/>
  <c r="O62" i="2" s="1"/>
  <c r="T61" i="14"/>
  <c r="E62" i="27"/>
  <c r="O62" i="27" s="1"/>
  <c r="BN62" i="28" l="1"/>
  <c r="CA62" i="28" s="1"/>
  <c r="BM62" i="28"/>
  <c r="BN62" i="27"/>
  <c r="CA62" i="27" s="1"/>
  <c r="BM62" i="27"/>
  <c r="G61" i="14" s="1"/>
  <c r="BN62" i="2"/>
  <c r="CA62" i="2" s="1"/>
  <c r="BM62" i="2"/>
  <c r="V61" i="14"/>
  <c r="BQ62" i="27" l="1"/>
  <c r="H56" i="14"/>
  <c r="BQ62" i="2"/>
  <c r="BQ62" i="28"/>
  <c r="J56" i="14"/>
  <c r="BR62" i="27"/>
  <c r="BR62" i="2"/>
  <c r="BR62" i="28"/>
  <c r="BU62" i="28"/>
  <c r="BT62" i="27"/>
  <c r="BT62" i="28"/>
  <c r="I61" i="14"/>
  <c r="J61" i="14" s="1"/>
  <c r="BO62" i="28"/>
  <c r="H61" i="14"/>
  <c r="BO62" i="27"/>
  <c r="E61" i="14"/>
  <c r="BO62" i="2"/>
  <c r="F56" i="14" l="1"/>
  <c r="L56" i="14"/>
  <c r="BV62" i="28"/>
  <c r="L61" i="14"/>
  <c r="F61" i="14"/>
  <c r="O56" i="14" l="1"/>
  <c r="AB56" i="14"/>
  <c r="M56" i="14"/>
  <c r="Q56" i="14"/>
  <c r="U56" i="14"/>
  <c r="Q61" i="14"/>
  <c r="AB61" i="14"/>
  <c r="O61" i="14"/>
  <c r="M61" i="14"/>
  <c r="U61" i="14"/>
  <c r="C4" i="1" l="1"/>
  <c r="E3" i="1"/>
  <c r="C2" i="1"/>
  <c r="C1" i="1"/>
  <c r="B5" i="76" l="1"/>
  <c r="B2" i="76"/>
  <c r="B1" i="76"/>
  <c r="B4" i="76"/>
  <c r="M64" i="60"/>
  <c r="L64" i="60"/>
  <c r="K64" i="60"/>
  <c r="J64" i="60"/>
  <c r="I64" i="60"/>
  <c r="H64" i="60"/>
  <c r="G64" i="60"/>
  <c r="F64" i="60"/>
  <c r="M64" i="59"/>
  <c r="L64" i="59"/>
  <c r="K64" i="59"/>
  <c r="J64" i="59"/>
  <c r="I64" i="59"/>
  <c r="H64" i="59"/>
  <c r="G64" i="59"/>
  <c r="F64" i="59"/>
  <c r="M64" i="25"/>
  <c r="L64" i="25"/>
  <c r="K64" i="25"/>
  <c r="J64" i="25"/>
  <c r="I64" i="25"/>
  <c r="H64" i="25"/>
  <c r="G64" i="25"/>
  <c r="F64" i="25"/>
  <c r="F8" i="1" l="1"/>
  <c r="N7" i="76" s="1"/>
  <c r="F7" i="1"/>
  <c r="F6" i="1"/>
  <c r="F5" i="1"/>
  <c r="F8" i="60" l="1"/>
  <c r="F8" i="25"/>
  <c r="F8" i="59"/>
  <c r="B9" i="25"/>
  <c r="B9" i="59"/>
  <c r="B9" i="60"/>
  <c r="B8" i="59"/>
  <c r="B8" i="60"/>
  <c r="B8" i="25"/>
  <c r="F9" i="59"/>
  <c r="F9" i="60"/>
  <c r="F9" i="25"/>
  <c r="F7" i="76"/>
  <c r="M8" i="76"/>
  <c r="D8" i="76"/>
  <c r="CA62" i="60" l="1"/>
  <c r="BZ62" i="60"/>
  <c r="B62" i="60"/>
  <c r="CA56" i="60"/>
  <c r="BZ56" i="60"/>
  <c r="B56" i="60"/>
  <c r="CA55" i="60"/>
  <c r="BZ55" i="60"/>
  <c r="B55" i="60"/>
  <c r="CA54" i="60"/>
  <c r="BZ54" i="60"/>
  <c r="B54" i="60"/>
  <c r="CA53" i="60"/>
  <c r="BZ53" i="60"/>
  <c r="B53" i="60"/>
  <c r="CA52" i="60"/>
  <c r="BZ52" i="60"/>
  <c r="B52" i="60"/>
  <c r="CA51" i="60"/>
  <c r="BZ51" i="60"/>
  <c r="B51" i="60"/>
  <c r="CA50" i="60"/>
  <c r="BZ50" i="60"/>
  <c r="B50" i="60"/>
  <c r="CA49" i="60"/>
  <c r="BZ49" i="60"/>
  <c r="B49" i="60"/>
  <c r="CA48" i="60"/>
  <c r="BZ48" i="60"/>
  <c r="B48" i="60"/>
  <c r="CA47" i="60"/>
  <c r="BZ47" i="60"/>
  <c r="B47" i="60"/>
  <c r="CA46" i="60"/>
  <c r="BZ46" i="60"/>
  <c r="B46" i="60"/>
  <c r="CA45" i="60"/>
  <c r="BZ45" i="60"/>
  <c r="B45" i="60"/>
  <c r="CA44" i="60"/>
  <c r="BZ44" i="60"/>
  <c r="B44" i="60"/>
  <c r="CA43" i="60"/>
  <c r="BZ43" i="60"/>
  <c r="B43" i="60"/>
  <c r="CA42" i="60"/>
  <c r="BZ42" i="60"/>
  <c r="B42" i="60"/>
  <c r="CA41" i="60"/>
  <c r="BZ41" i="60"/>
  <c r="B41" i="60"/>
  <c r="CA40" i="60"/>
  <c r="BZ40" i="60"/>
  <c r="B40" i="60"/>
  <c r="CA39" i="60"/>
  <c r="BZ39" i="60"/>
  <c r="B39" i="60"/>
  <c r="CA38" i="60"/>
  <c r="BZ38" i="60"/>
  <c r="B38" i="60"/>
  <c r="CA37" i="60"/>
  <c r="BZ37" i="60"/>
  <c r="B37" i="60"/>
  <c r="CA36" i="60"/>
  <c r="BZ36" i="60"/>
  <c r="B36" i="60"/>
  <c r="CA35" i="60"/>
  <c r="BZ35" i="60"/>
  <c r="B35" i="60"/>
  <c r="CA34" i="60"/>
  <c r="BZ34" i="60"/>
  <c r="B34" i="60"/>
  <c r="CA33" i="60"/>
  <c r="BZ33" i="60"/>
  <c r="B33" i="60"/>
  <c r="CA32" i="60"/>
  <c r="BZ32" i="60"/>
  <c r="B32" i="60"/>
  <c r="CA31" i="60"/>
  <c r="BZ31" i="60"/>
  <c r="B31" i="60"/>
  <c r="CA30" i="60"/>
  <c r="BZ30" i="60"/>
  <c r="B30" i="60"/>
  <c r="CA29" i="60"/>
  <c r="BZ29" i="60"/>
  <c r="B29" i="60"/>
  <c r="CA28" i="60"/>
  <c r="BZ28" i="60"/>
  <c r="B28" i="60"/>
  <c r="CA27" i="60"/>
  <c r="BZ27" i="60"/>
  <c r="B27" i="60"/>
  <c r="CA26" i="60"/>
  <c r="BZ26" i="60"/>
  <c r="B26" i="60"/>
  <c r="CA25" i="60"/>
  <c r="BZ25" i="60"/>
  <c r="B25" i="60"/>
  <c r="CA24" i="60"/>
  <c r="BZ24" i="60"/>
  <c r="B24" i="60"/>
  <c r="CA23" i="60"/>
  <c r="BZ23" i="60"/>
  <c r="B23" i="60"/>
  <c r="CA22" i="60"/>
  <c r="BZ22" i="60"/>
  <c r="CD22" i="60" s="1"/>
  <c r="B22" i="60"/>
  <c r="CA21" i="60"/>
  <c r="BZ21" i="60"/>
  <c r="B21" i="60"/>
  <c r="CA20" i="60"/>
  <c r="BZ20" i="60"/>
  <c r="B20" i="60"/>
  <c r="CA19" i="60"/>
  <c r="BZ19" i="60"/>
  <c r="B19" i="60"/>
  <c r="CA18" i="60"/>
  <c r="BZ18" i="60"/>
  <c r="CD18" i="60" s="1"/>
  <c r="B18" i="60"/>
  <c r="CA17" i="60"/>
  <c r="BZ17" i="60"/>
  <c r="B17" i="60"/>
  <c r="CA16" i="60"/>
  <c r="BZ16" i="60"/>
  <c r="B16" i="60"/>
  <c r="CA15" i="60"/>
  <c r="BZ15" i="60"/>
  <c r="B15" i="60"/>
  <c r="CA14" i="60"/>
  <c r="BZ14" i="60"/>
  <c r="CD14" i="60" s="1"/>
  <c r="B14" i="60"/>
  <c r="D4" i="60"/>
  <c r="D3" i="60"/>
  <c r="D2" i="60"/>
  <c r="D5" i="60"/>
  <c r="D1" i="60"/>
  <c r="BZ62" i="59"/>
  <c r="B62" i="59"/>
  <c r="BZ56" i="59"/>
  <c r="B56" i="59"/>
  <c r="BZ55" i="59"/>
  <c r="B55" i="59"/>
  <c r="BZ54" i="59"/>
  <c r="B54" i="59"/>
  <c r="BZ53" i="59"/>
  <c r="B53" i="59"/>
  <c r="BZ52" i="59"/>
  <c r="B52" i="59"/>
  <c r="BZ51" i="59"/>
  <c r="B51" i="59"/>
  <c r="BZ50" i="59"/>
  <c r="B50" i="59"/>
  <c r="BZ49" i="59"/>
  <c r="B49" i="59"/>
  <c r="BZ48" i="59"/>
  <c r="B48" i="59"/>
  <c r="BZ47" i="59"/>
  <c r="B47" i="59"/>
  <c r="BZ46" i="59"/>
  <c r="B46" i="59"/>
  <c r="BZ45" i="59"/>
  <c r="B45" i="59"/>
  <c r="BZ44" i="59"/>
  <c r="B44" i="59"/>
  <c r="BZ43" i="59"/>
  <c r="B43" i="59"/>
  <c r="BZ42" i="59"/>
  <c r="B42" i="59"/>
  <c r="BZ41" i="59"/>
  <c r="B41" i="59"/>
  <c r="BZ40" i="59"/>
  <c r="B40" i="59"/>
  <c r="BZ39" i="59"/>
  <c r="B39" i="59"/>
  <c r="BZ38" i="59"/>
  <c r="B38" i="59"/>
  <c r="BZ37" i="59"/>
  <c r="B37" i="59"/>
  <c r="BZ36" i="59"/>
  <c r="B36" i="59"/>
  <c r="BZ35" i="59"/>
  <c r="B35" i="59"/>
  <c r="BZ34" i="59"/>
  <c r="B34" i="59"/>
  <c r="BZ33" i="59"/>
  <c r="B33" i="59"/>
  <c r="BZ32" i="59"/>
  <c r="B32" i="59"/>
  <c r="BZ31" i="59"/>
  <c r="B31" i="59"/>
  <c r="BZ30" i="59"/>
  <c r="B30" i="59"/>
  <c r="BZ29" i="59"/>
  <c r="B29" i="59"/>
  <c r="BZ28" i="59"/>
  <c r="B28" i="59"/>
  <c r="BZ27" i="59"/>
  <c r="B27" i="59"/>
  <c r="BZ26" i="59"/>
  <c r="B26" i="59"/>
  <c r="BZ25" i="59"/>
  <c r="B25" i="59"/>
  <c r="BZ24" i="59"/>
  <c r="B24" i="59"/>
  <c r="BZ23" i="59"/>
  <c r="B23" i="59"/>
  <c r="BZ22" i="59"/>
  <c r="B22" i="59"/>
  <c r="BZ21" i="59"/>
  <c r="B21" i="59"/>
  <c r="BZ20" i="59"/>
  <c r="B20" i="59"/>
  <c r="BZ19" i="59"/>
  <c r="B19" i="59"/>
  <c r="BZ18" i="59"/>
  <c r="B18" i="59"/>
  <c r="BZ17" i="59"/>
  <c r="B17" i="59"/>
  <c r="BZ16" i="59"/>
  <c r="B16" i="59"/>
  <c r="BZ15" i="59"/>
  <c r="B15" i="59"/>
  <c r="BZ14" i="59"/>
  <c r="CD14" i="59" s="1"/>
  <c r="B14" i="59"/>
  <c r="D4" i="59"/>
  <c r="D3" i="59"/>
  <c r="D2" i="59"/>
  <c r="D5" i="59"/>
  <c r="D1" i="59"/>
  <c r="D1" i="25"/>
  <c r="D5" i="25"/>
  <c r="D2" i="25"/>
  <c r="D3" i="25"/>
  <c r="D4" i="25"/>
  <c r="CD26" i="60" l="1"/>
  <c r="CD30" i="60"/>
  <c r="E30" i="60" s="1"/>
  <c r="CD34" i="60"/>
  <c r="CD38" i="60"/>
  <c r="E38" i="60" s="1"/>
  <c r="CD42" i="60"/>
  <c r="CD46" i="60"/>
  <c r="E46" i="60" s="1"/>
  <c r="CD50" i="60"/>
  <c r="CD54" i="60"/>
  <c r="E54" i="60" s="1"/>
  <c r="CD16" i="60"/>
  <c r="CD20" i="60"/>
  <c r="CD24" i="60"/>
  <c r="CD28" i="60"/>
  <c r="E28" i="60" s="1"/>
  <c r="CD32" i="60"/>
  <c r="CD36" i="60"/>
  <c r="E36" i="60" s="1"/>
  <c r="CD40" i="60"/>
  <c r="CD44" i="60"/>
  <c r="E44" i="60" s="1"/>
  <c r="CD48" i="60"/>
  <c r="E48" i="60" s="1"/>
  <c r="CD52" i="60"/>
  <c r="E52" i="60" s="1"/>
  <c r="CD56" i="60"/>
  <c r="E55" i="28" s="1"/>
  <c r="O55" i="28" s="1"/>
  <c r="CD20" i="59"/>
  <c r="E20" i="59" s="1"/>
  <c r="CD30" i="59"/>
  <c r="E30" i="59" s="1"/>
  <c r="CD15" i="59"/>
  <c r="E15" i="59" s="1"/>
  <c r="CD19" i="59"/>
  <c r="E19" i="59" s="1"/>
  <c r="CD23" i="59"/>
  <c r="E23" i="59" s="1"/>
  <c r="CD27" i="59"/>
  <c r="E27" i="59" s="1"/>
  <c r="CD31" i="59"/>
  <c r="E31" i="59" s="1"/>
  <c r="CD35" i="59"/>
  <c r="E35" i="59" s="1"/>
  <c r="CD39" i="59"/>
  <c r="E39" i="59" s="1"/>
  <c r="CD43" i="59"/>
  <c r="E43" i="59" s="1"/>
  <c r="CD47" i="59"/>
  <c r="E47" i="59" s="1"/>
  <c r="CD49" i="59"/>
  <c r="E49" i="59" s="1"/>
  <c r="CD53" i="59"/>
  <c r="E53" i="59" s="1"/>
  <c r="CD55" i="59"/>
  <c r="E55" i="59" s="1"/>
  <c r="CD62" i="59"/>
  <c r="E62" i="59" s="1"/>
  <c r="CD18" i="59"/>
  <c r="E18" i="59" s="1"/>
  <c r="CD26" i="59"/>
  <c r="E26" i="59" s="1"/>
  <c r="CD36" i="59"/>
  <c r="E36" i="59" s="1"/>
  <c r="CD17" i="59"/>
  <c r="E17" i="59" s="1"/>
  <c r="CD21" i="59"/>
  <c r="E21" i="59" s="1"/>
  <c r="CD25" i="59"/>
  <c r="E25" i="59" s="1"/>
  <c r="CD29" i="59"/>
  <c r="E29" i="59" s="1"/>
  <c r="CD33" i="59"/>
  <c r="E33" i="59" s="1"/>
  <c r="CD37" i="59"/>
  <c r="E36" i="27" s="1"/>
  <c r="O36" i="27" s="1"/>
  <c r="CD41" i="59"/>
  <c r="E41" i="59" s="1"/>
  <c r="CD45" i="59"/>
  <c r="E45" i="59" s="1"/>
  <c r="CD51" i="59"/>
  <c r="E51" i="59" s="1"/>
  <c r="CD17" i="60"/>
  <c r="E17" i="60" s="1"/>
  <c r="CD21" i="60"/>
  <c r="E21" i="60" s="1"/>
  <c r="CD25" i="60"/>
  <c r="E25" i="60" s="1"/>
  <c r="CD29" i="60"/>
  <c r="E29" i="60" s="1"/>
  <c r="CD33" i="60"/>
  <c r="E33" i="60" s="1"/>
  <c r="CD37" i="60"/>
  <c r="E37" i="60" s="1"/>
  <c r="CD41" i="60"/>
  <c r="E41" i="60" s="1"/>
  <c r="CD45" i="60"/>
  <c r="E45" i="60" s="1"/>
  <c r="CD49" i="60"/>
  <c r="E49" i="60" s="1"/>
  <c r="CD53" i="60"/>
  <c r="E53" i="60" s="1"/>
  <c r="CD62" i="60"/>
  <c r="E62" i="60" s="1"/>
  <c r="CD16" i="59"/>
  <c r="E16" i="59" s="1"/>
  <c r="CD24" i="59"/>
  <c r="E24" i="59" s="1"/>
  <c r="CD32" i="59"/>
  <c r="E32" i="59" s="1"/>
  <c r="CD38" i="59"/>
  <c r="E38" i="59" s="1"/>
  <c r="CD42" i="59"/>
  <c r="E42" i="59" s="1"/>
  <c r="CD46" i="59"/>
  <c r="E46" i="59" s="1"/>
  <c r="CD50" i="59"/>
  <c r="E50" i="59" s="1"/>
  <c r="CD56" i="59"/>
  <c r="E56" i="59" s="1"/>
  <c r="CD22" i="59"/>
  <c r="E22" i="59" s="1"/>
  <c r="CD28" i="59"/>
  <c r="E28" i="59" s="1"/>
  <c r="CD34" i="59"/>
  <c r="E34" i="59" s="1"/>
  <c r="CD40" i="59"/>
  <c r="E40" i="59" s="1"/>
  <c r="CD44" i="59"/>
  <c r="E44" i="59" s="1"/>
  <c r="CD48" i="59"/>
  <c r="E48" i="59" s="1"/>
  <c r="CD52" i="59"/>
  <c r="E52" i="59" s="1"/>
  <c r="CD54" i="59"/>
  <c r="E53" i="27" s="1"/>
  <c r="O53" i="27" s="1"/>
  <c r="CD15" i="60"/>
  <c r="E15" i="60" s="1"/>
  <c r="CD19" i="60"/>
  <c r="E19" i="60" s="1"/>
  <c r="CD23" i="60"/>
  <c r="E23" i="60" s="1"/>
  <c r="CD27" i="60"/>
  <c r="E27" i="60" s="1"/>
  <c r="CD31" i="60"/>
  <c r="E31" i="60" s="1"/>
  <c r="CD35" i="60"/>
  <c r="E35" i="60" s="1"/>
  <c r="CD39" i="60"/>
  <c r="E39" i="60" s="1"/>
  <c r="CD43" i="60"/>
  <c r="E42" i="28" s="1"/>
  <c r="O42" i="28" s="1"/>
  <c r="CD47" i="60"/>
  <c r="E47" i="60" s="1"/>
  <c r="CD51" i="60"/>
  <c r="E51" i="60" s="1"/>
  <c r="CD55" i="60"/>
  <c r="E55" i="60" s="1"/>
  <c r="E18" i="60"/>
  <c r="E22" i="60"/>
  <c r="E26" i="60"/>
  <c r="E34" i="60"/>
  <c r="E42" i="60"/>
  <c r="E50" i="60"/>
  <c r="E16" i="60"/>
  <c r="E20" i="60"/>
  <c r="E24" i="60"/>
  <c r="E32" i="60"/>
  <c r="E40" i="60"/>
  <c r="E56" i="60"/>
  <c r="E14" i="60"/>
  <c r="E14" i="59"/>
  <c r="E26" i="27"/>
  <c r="O26" i="27" s="1"/>
  <c r="E28" i="27"/>
  <c r="O28" i="27" s="1"/>
  <c r="E34" i="27"/>
  <c r="O34" i="27" s="1"/>
  <c r="E44" i="27"/>
  <c r="O44" i="27" s="1"/>
  <c r="E48" i="27"/>
  <c r="O48" i="27" s="1"/>
  <c r="E50" i="27"/>
  <c r="O50" i="27" s="1"/>
  <c r="E16" i="28"/>
  <c r="O16" i="28" s="1"/>
  <c r="E17" i="28"/>
  <c r="O17" i="28" s="1"/>
  <c r="E18" i="28"/>
  <c r="O18" i="28" s="1"/>
  <c r="E21" i="28"/>
  <c r="O21" i="28" s="1"/>
  <c r="E24" i="28"/>
  <c r="O24" i="28" s="1"/>
  <c r="E25" i="28"/>
  <c r="O25" i="28" s="1"/>
  <c r="E26" i="28"/>
  <c r="O26" i="28" s="1"/>
  <c r="E33" i="28"/>
  <c r="O33" i="28" s="1"/>
  <c r="E41" i="28"/>
  <c r="O41" i="28" s="1"/>
  <c r="E48" i="28"/>
  <c r="O48" i="28" s="1"/>
  <c r="E49" i="28"/>
  <c r="O49" i="28" s="1"/>
  <c r="E53" i="28"/>
  <c r="O53" i="28" s="1"/>
  <c r="E61" i="28"/>
  <c r="O61" i="28" s="1"/>
  <c r="E29" i="27"/>
  <c r="O29" i="27" s="1"/>
  <c r="E35" i="27"/>
  <c r="O35" i="27" s="1"/>
  <c r="E39" i="27"/>
  <c r="O39" i="27" s="1"/>
  <c r="E55" i="27"/>
  <c r="O55" i="27" s="1"/>
  <c r="E23" i="28"/>
  <c r="O23" i="28" s="1"/>
  <c r="E31" i="28"/>
  <c r="O31" i="28" s="1"/>
  <c r="E39" i="28"/>
  <c r="O39" i="28" s="1"/>
  <c r="E47" i="28"/>
  <c r="O47" i="28" s="1"/>
  <c r="E14" i="27"/>
  <c r="O14" i="27" s="1"/>
  <c r="E30" i="27"/>
  <c r="O30" i="27" s="1"/>
  <c r="E46" i="27"/>
  <c r="O46" i="27" s="1"/>
  <c r="E54" i="27"/>
  <c r="O54" i="27" s="1"/>
  <c r="E18" i="27"/>
  <c r="O18" i="27" s="1"/>
  <c r="E17" i="27"/>
  <c r="O17" i="27" s="1"/>
  <c r="CB62" i="60"/>
  <c r="CB56" i="60"/>
  <c r="CB52" i="59"/>
  <c r="CB53" i="59"/>
  <c r="CB54" i="59"/>
  <c r="CB55" i="59"/>
  <c r="CB62" i="59"/>
  <c r="CB56" i="59"/>
  <c r="CB14" i="59"/>
  <c r="CB15" i="59"/>
  <c r="CB16" i="59"/>
  <c r="CB17" i="59"/>
  <c r="CB18" i="59"/>
  <c r="CB14" i="60"/>
  <c r="CB15" i="60"/>
  <c r="CB16" i="60"/>
  <c r="CB17" i="60"/>
  <c r="CB18" i="60"/>
  <c r="CB19" i="60"/>
  <c r="CB20" i="60"/>
  <c r="CB21" i="60"/>
  <c r="CB22" i="60"/>
  <c r="CB23" i="60"/>
  <c r="CB24" i="60"/>
  <c r="CB25" i="60"/>
  <c r="CB26" i="60"/>
  <c r="CB27" i="60"/>
  <c r="CB28" i="60"/>
  <c r="CB29" i="60"/>
  <c r="CB30" i="60"/>
  <c r="CB31" i="60"/>
  <c r="CB32" i="60"/>
  <c r="CB33" i="60"/>
  <c r="CB34" i="60"/>
  <c r="CB35" i="60"/>
  <c r="CB36" i="60"/>
  <c r="CB37" i="60"/>
  <c r="CB38" i="60"/>
  <c r="CB39" i="60"/>
  <c r="CB40" i="60"/>
  <c r="CB41" i="60"/>
  <c r="CB42" i="60"/>
  <c r="CB43" i="60"/>
  <c r="CB44" i="60"/>
  <c r="CB45" i="60"/>
  <c r="CB46" i="60"/>
  <c r="CB47" i="60"/>
  <c r="CB48" i="60"/>
  <c r="CB49" i="60"/>
  <c r="CB50" i="60"/>
  <c r="CB51" i="60"/>
  <c r="CB52" i="60"/>
  <c r="CB53" i="60"/>
  <c r="CB54" i="60"/>
  <c r="CB55" i="60"/>
  <c r="CB19" i="59"/>
  <c r="CB20" i="59"/>
  <c r="CB21" i="59"/>
  <c r="CB22" i="59"/>
  <c r="CB23" i="59"/>
  <c r="CB24" i="59"/>
  <c r="CB25" i="59"/>
  <c r="CB26" i="59"/>
  <c r="CB27" i="59"/>
  <c r="CB28" i="59"/>
  <c r="CB29" i="59"/>
  <c r="CB30" i="59"/>
  <c r="CB31" i="59"/>
  <c r="CB32" i="59"/>
  <c r="CB33" i="59"/>
  <c r="CB34" i="59"/>
  <c r="CB35" i="59"/>
  <c r="CB36" i="59"/>
  <c r="CB37" i="59"/>
  <c r="CB38" i="59"/>
  <c r="CB39" i="59"/>
  <c r="CB40" i="59"/>
  <c r="CB41" i="59"/>
  <c r="CB42" i="59"/>
  <c r="CB43" i="59"/>
  <c r="CB44" i="59"/>
  <c r="CB45" i="59"/>
  <c r="CB46" i="59"/>
  <c r="CB47" i="59"/>
  <c r="CB48" i="59"/>
  <c r="CB49" i="59"/>
  <c r="CB50" i="59"/>
  <c r="CB51" i="59"/>
  <c r="CA62" i="25"/>
  <c r="CA56" i="25"/>
  <c r="CA55" i="25"/>
  <c r="CA54" i="25"/>
  <c r="CA53" i="25"/>
  <c r="CA52" i="25"/>
  <c r="CA51" i="25"/>
  <c r="CA50" i="25"/>
  <c r="CA49" i="25"/>
  <c r="CA48" i="25"/>
  <c r="CA47" i="25"/>
  <c r="CA46" i="25"/>
  <c r="CA45" i="25"/>
  <c r="CA44" i="25"/>
  <c r="CA43" i="25"/>
  <c r="CA42" i="25"/>
  <c r="CA41" i="25"/>
  <c r="CA40" i="25"/>
  <c r="CA39" i="25"/>
  <c r="CA38" i="25"/>
  <c r="CA37" i="25"/>
  <c r="CA36" i="25"/>
  <c r="CA35" i="25"/>
  <c r="CA34" i="25"/>
  <c r="CA33" i="25"/>
  <c r="CA32" i="25"/>
  <c r="CA31" i="25"/>
  <c r="CA30" i="25"/>
  <c r="CA29" i="25"/>
  <c r="CA28" i="25"/>
  <c r="CA27" i="25"/>
  <c r="CA26" i="25"/>
  <c r="CA25" i="25"/>
  <c r="CA24" i="25"/>
  <c r="CA23" i="25"/>
  <c r="CA22" i="25"/>
  <c r="CA21" i="25"/>
  <c r="CA20" i="25"/>
  <c r="CA19" i="25"/>
  <c r="CA18" i="25"/>
  <c r="CA17" i="25"/>
  <c r="CA16" i="25"/>
  <c r="CA15" i="25"/>
  <c r="CA14" i="25"/>
  <c r="BZ62" i="25"/>
  <c r="BZ56" i="25"/>
  <c r="BZ55" i="25"/>
  <c r="BZ54" i="25"/>
  <c r="BZ53" i="25"/>
  <c r="BZ52" i="25"/>
  <c r="BZ51" i="25"/>
  <c r="BZ50" i="25"/>
  <c r="BZ49" i="25"/>
  <c r="BZ48" i="25"/>
  <c r="BZ47" i="25"/>
  <c r="BZ46" i="25"/>
  <c r="BZ45" i="25"/>
  <c r="BZ44" i="25"/>
  <c r="BZ43" i="25"/>
  <c r="BZ42" i="25"/>
  <c r="BZ41" i="25"/>
  <c r="BZ40" i="25"/>
  <c r="BZ39" i="25"/>
  <c r="BZ38" i="25"/>
  <c r="BZ37" i="25"/>
  <c r="BZ36" i="25"/>
  <c r="BZ35" i="25"/>
  <c r="BZ34" i="25"/>
  <c r="BZ33" i="25"/>
  <c r="BZ32" i="25"/>
  <c r="BZ31" i="25"/>
  <c r="BZ30" i="25"/>
  <c r="BZ29" i="25"/>
  <c r="BZ28" i="25"/>
  <c r="BZ27" i="25"/>
  <c r="BZ26" i="25"/>
  <c r="BZ25" i="25"/>
  <c r="BZ24" i="25"/>
  <c r="BZ23" i="25"/>
  <c r="BZ22" i="25"/>
  <c r="BZ21" i="25"/>
  <c r="BZ20" i="25"/>
  <c r="BZ19" i="25"/>
  <c r="BZ18" i="25"/>
  <c r="BZ17" i="25"/>
  <c r="BZ16" i="25"/>
  <c r="BZ15" i="25"/>
  <c r="E33" i="27" l="1"/>
  <c r="O33" i="27" s="1"/>
  <c r="E51" i="27"/>
  <c r="O51" i="27" s="1"/>
  <c r="BM51" i="27" s="1"/>
  <c r="BQ51" i="27" s="1"/>
  <c r="E50" i="28"/>
  <c r="O50" i="28" s="1"/>
  <c r="E61" i="27"/>
  <c r="O61" i="27" s="1"/>
  <c r="BN61" i="27" s="1"/>
  <c r="E42" i="27"/>
  <c r="O42" i="27" s="1"/>
  <c r="E45" i="27"/>
  <c r="O45" i="27" s="1"/>
  <c r="BN45" i="27" s="1"/>
  <c r="E23" i="27"/>
  <c r="O23" i="27" s="1"/>
  <c r="E32" i="28"/>
  <c r="O32" i="28" s="1"/>
  <c r="BN32" i="28" s="1"/>
  <c r="E30" i="28"/>
  <c r="O30" i="28" s="1"/>
  <c r="E27" i="28"/>
  <c r="O27" i="28" s="1"/>
  <c r="E38" i="28"/>
  <c r="O38" i="28" s="1"/>
  <c r="E22" i="27"/>
  <c r="O22" i="27" s="1"/>
  <c r="BN22" i="27" s="1"/>
  <c r="E25" i="27"/>
  <c r="O25" i="27" s="1"/>
  <c r="E43" i="28"/>
  <c r="O43" i="28" s="1"/>
  <c r="BM43" i="28" s="1"/>
  <c r="BQ43" i="28" s="1"/>
  <c r="E19" i="27"/>
  <c r="O19" i="27" s="1"/>
  <c r="E37" i="28"/>
  <c r="O37" i="28" s="1"/>
  <c r="BN37" i="28" s="1"/>
  <c r="E38" i="27"/>
  <c r="O38" i="27" s="1"/>
  <c r="E49" i="27"/>
  <c r="O49" i="27" s="1"/>
  <c r="BN49" i="27" s="1"/>
  <c r="E36" i="28"/>
  <c r="O36" i="28" s="1"/>
  <c r="E40" i="27"/>
  <c r="O40" i="27" s="1"/>
  <c r="BN40" i="27" s="1"/>
  <c r="E24" i="27"/>
  <c r="O24" i="27" s="1"/>
  <c r="E44" i="28"/>
  <c r="O44" i="28" s="1"/>
  <c r="BN44" i="28" s="1"/>
  <c r="E16" i="27"/>
  <c r="O16" i="27" s="1"/>
  <c r="CD17" i="25"/>
  <c r="E17" i="25" s="1"/>
  <c r="CD33" i="25"/>
  <c r="E33" i="25" s="1"/>
  <c r="CD45" i="25"/>
  <c r="E45" i="25" s="1"/>
  <c r="CD19" i="25"/>
  <c r="E19" i="25" s="1"/>
  <c r="CD27" i="25"/>
  <c r="E27" i="25" s="1"/>
  <c r="CD35" i="25"/>
  <c r="E35" i="25" s="1"/>
  <c r="CD43" i="25"/>
  <c r="E43" i="25" s="1"/>
  <c r="CD51" i="25"/>
  <c r="E51" i="25" s="1"/>
  <c r="CD29" i="25"/>
  <c r="E29" i="25" s="1"/>
  <c r="CD49" i="25"/>
  <c r="E49" i="25" s="1"/>
  <c r="CD15" i="25"/>
  <c r="E15" i="25" s="1"/>
  <c r="CD23" i="25"/>
  <c r="E23" i="25" s="1"/>
  <c r="CD31" i="25"/>
  <c r="E31" i="25" s="1"/>
  <c r="CD39" i="25"/>
  <c r="E39" i="25" s="1"/>
  <c r="CD47" i="25"/>
  <c r="E47" i="25" s="1"/>
  <c r="CD55" i="25"/>
  <c r="E55" i="25" s="1"/>
  <c r="CD16" i="25"/>
  <c r="E16" i="25" s="1"/>
  <c r="CD20" i="25"/>
  <c r="E20" i="25" s="1"/>
  <c r="CD24" i="25"/>
  <c r="E24" i="25" s="1"/>
  <c r="CD28" i="25"/>
  <c r="E28" i="25" s="1"/>
  <c r="CD32" i="25"/>
  <c r="E32" i="25" s="1"/>
  <c r="CD36" i="25"/>
  <c r="E36" i="25" s="1"/>
  <c r="CD40" i="25"/>
  <c r="E40" i="25" s="1"/>
  <c r="CD44" i="25"/>
  <c r="E44" i="25" s="1"/>
  <c r="CD48" i="25"/>
  <c r="E48" i="25" s="1"/>
  <c r="CD52" i="25"/>
  <c r="E52" i="25" s="1"/>
  <c r="CD56" i="25"/>
  <c r="E56" i="25" s="1"/>
  <c r="E41" i="27"/>
  <c r="O41" i="27" s="1"/>
  <c r="BN41" i="27" s="1"/>
  <c r="E47" i="27"/>
  <c r="O47" i="27" s="1"/>
  <c r="BM47" i="27" s="1"/>
  <c r="BQ47" i="27" s="1"/>
  <c r="E37" i="27"/>
  <c r="O37" i="27" s="1"/>
  <c r="E27" i="27"/>
  <c r="O27" i="27" s="1"/>
  <c r="BN27" i="27" s="1"/>
  <c r="E15" i="27"/>
  <c r="O15" i="27" s="1"/>
  <c r="BN15" i="27" s="1"/>
  <c r="E52" i="28"/>
  <c r="O52" i="28" s="1"/>
  <c r="BM52" i="28" s="1"/>
  <c r="BQ52" i="28" s="1"/>
  <c r="E46" i="28"/>
  <c r="O46" i="28" s="1"/>
  <c r="BM46" i="28" s="1"/>
  <c r="BQ46" i="28" s="1"/>
  <c r="E40" i="28"/>
  <c r="O40" i="28" s="1"/>
  <c r="BM40" i="28" s="1"/>
  <c r="BQ40" i="28" s="1"/>
  <c r="E34" i="28"/>
  <c r="O34" i="28" s="1"/>
  <c r="BM34" i="28" s="1"/>
  <c r="BQ34" i="28" s="1"/>
  <c r="E28" i="28"/>
  <c r="O28" i="28" s="1"/>
  <c r="BM28" i="28" s="1"/>
  <c r="BQ28" i="28" s="1"/>
  <c r="E22" i="28"/>
  <c r="O22" i="28" s="1"/>
  <c r="E52" i="27"/>
  <c r="O52" i="27" s="1"/>
  <c r="BM52" i="27" s="1"/>
  <c r="BQ52" i="27" s="1"/>
  <c r="E32" i="27"/>
  <c r="O32" i="27" s="1"/>
  <c r="E20" i="27"/>
  <c r="O20" i="27" s="1"/>
  <c r="BM20" i="27" s="1"/>
  <c r="BQ20" i="27" s="1"/>
  <c r="E43" i="60"/>
  <c r="E54" i="59"/>
  <c r="E37" i="59"/>
  <c r="CD21" i="25"/>
  <c r="E21" i="25" s="1"/>
  <c r="CD37" i="25"/>
  <c r="E37" i="25" s="1"/>
  <c r="CD62" i="25"/>
  <c r="E62" i="25" s="1"/>
  <c r="CD25" i="25"/>
  <c r="E25" i="25" s="1"/>
  <c r="CD41" i="25"/>
  <c r="E41" i="25" s="1"/>
  <c r="CD53" i="25"/>
  <c r="E53" i="25" s="1"/>
  <c r="CD18" i="25"/>
  <c r="E18" i="25" s="1"/>
  <c r="CD22" i="25"/>
  <c r="E22" i="25" s="1"/>
  <c r="CD26" i="25"/>
  <c r="E26" i="25" s="1"/>
  <c r="CD30" i="25"/>
  <c r="E30" i="25" s="1"/>
  <c r="CD34" i="25"/>
  <c r="E34" i="25" s="1"/>
  <c r="CD38" i="25"/>
  <c r="E38" i="25" s="1"/>
  <c r="CD42" i="25"/>
  <c r="E42" i="25" s="1"/>
  <c r="CD46" i="25"/>
  <c r="E46" i="25" s="1"/>
  <c r="CD50" i="25"/>
  <c r="E50" i="25" s="1"/>
  <c r="CD54" i="25"/>
  <c r="E54" i="25" s="1"/>
  <c r="E43" i="27"/>
  <c r="O43" i="27" s="1"/>
  <c r="BM43" i="27" s="1"/>
  <c r="BQ43" i="27" s="1"/>
  <c r="E31" i="27"/>
  <c r="O31" i="27" s="1"/>
  <c r="E21" i="27"/>
  <c r="O21" i="27" s="1"/>
  <c r="BM21" i="27" s="1"/>
  <c r="BQ21" i="27" s="1"/>
  <c r="E54" i="28"/>
  <c r="O54" i="28" s="1"/>
  <c r="E20" i="28"/>
  <c r="O20" i="28" s="1"/>
  <c r="BM20" i="28" s="1"/>
  <c r="BQ20" i="28" s="1"/>
  <c r="E14" i="28"/>
  <c r="O14" i="28" s="1"/>
  <c r="BM14" i="28" s="1"/>
  <c r="BQ14" i="28" s="1"/>
  <c r="E15" i="28"/>
  <c r="O15" i="28" s="1"/>
  <c r="BN15" i="28" s="1"/>
  <c r="E51" i="28"/>
  <c r="O51" i="28" s="1"/>
  <c r="BN51" i="28" s="1"/>
  <c r="E35" i="28"/>
  <c r="O35" i="28" s="1"/>
  <c r="BM35" i="28" s="1"/>
  <c r="BQ35" i="28" s="1"/>
  <c r="E19" i="28"/>
  <c r="O19" i="28" s="1"/>
  <c r="BM19" i="28" s="1"/>
  <c r="BQ19" i="28" s="1"/>
  <c r="E45" i="28"/>
  <c r="O45" i="28" s="1"/>
  <c r="BN45" i="28" s="1"/>
  <c r="E29" i="28"/>
  <c r="O29" i="28" s="1"/>
  <c r="BM29" i="28" s="1"/>
  <c r="BQ29" i="28" s="1"/>
  <c r="E13" i="28"/>
  <c r="BM36" i="28"/>
  <c r="BQ36" i="28" s="1"/>
  <c r="BN36" i="28"/>
  <c r="BN30" i="28"/>
  <c r="BM30" i="28"/>
  <c r="BQ30" i="28" s="1"/>
  <c r="BN55" i="28"/>
  <c r="BM55" i="28"/>
  <c r="BQ55" i="28" s="1"/>
  <c r="BN39" i="28"/>
  <c r="BM39" i="28"/>
  <c r="BQ39" i="28" s="1"/>
  <c r="BN23" i="28"/>
  <c r="BM23" i="28"/>
  <c r="BQ23" i="28" s="1"/>
  <c r="BN53" i="28"/>
  <c r="BM53" i="28"/>
  <c r="BQ53" i="28" s="1"/>
  <c r="BM48" i="28"/>
  <c r="BQ48" i="28" s="1"/>
  <c r="BN48" i="28"/>
  <c r="BN42" i="28"/>
  <c r="BM42" i="28"/>
  <c r="BQ42" i="28" s="1"/>
  <c r="BN26" i="28"/>
  <c r="BM26" i="28"/>
  <c r="BQ26" i="28" s="1"/>
  <c r="BN21" i="28"/>
  <c r="BM21" i="28"/>
  <c r="BQ21" i="28" s="1"/>
  <c r="BN16" i="28"/>
  <c r="BM16" i="28"/>
  <c r="BQ16" i="28" s="1"/>
  <c r="BN47" i="28"/>
  <c r="BM47" i="28"/>
  <c r="BQ47" i="28" s="1"/>
  <c r="BN31" i="28"/>
  <c r="BM31" i="28"/>
  <c r="BQ31" i="28" s="1"/>
  <c r="BM61" i="28"/>
  <c r="I60" i="14" s="1"/>
  <c r="BN61" i="28"/>
  <c r="BN50" i="28"/>
  <c r="BM50" i="28"/>
  <c r="BQ50" i="28" s="1"/>
  <c r="BN40" i="28"/>
  <c r="BM24" i="28"/>
  <c r="BQ24" i="28" s="1"/>
  <c r="BN24" i="28"/>
  <c r="BN18" i="28"/>
  <c r="BM18" i="28"/>
  <c r="BQ18" i="28" s="1"/>
  <c r="BN41" i="28"/>
  <c r="BM41" i="28"/>
  <c r="BQ41" i="28" s="1"/>
  <c r="BN25" i="28"/>
  <c r="BM25" i="28"/>
  <c r="BQ25" i="28" s="1"/>
  <c r="BN43" i="28"/>
  <c r="BN27" i="28"/>
  <c r="BM27" i="28"/>
  <c r="BQ27" i="28" s="1"/>
  <c r="BN49" i="28"/>
  <c r="BM49" i="28"/>
  <c r="BQ49" i="28" s="1"/>
  <c r="BN38" i="28"/>
  <c r="BM38" i="28"/>
  <c r="BQ38" i="28" s="1"/>
  <c r="BN33" i="28"/>
  <c r="BM33" i="28"/>
  <c r="BQ33" i="28" s="1"/>
  <c r="BN22" i="28"/>
  <c r="BM22" i="28"/>
  <c r="BQ22" i="28" s="1"/>
  <c r="BN17" i="28"/>
  <c r="BM17" i="28"/>
  <c r="BQ17" i="28" s="1"/>
  <c r="BN17" i="27"/>
  <c r="CA17" i="27" s="1"/>
  <c r="BM17" i="27"/>
  <c r="BQ17" i="27" s="1"/>
  <c r="BN25" i="27"/>
  <c r="BM25" i="27"/>
  <c r="BQ25" i="27" s="1"/>
  <c r="BN46" i="27"/>
  <c r="BM46" i="27"/>
  <c r="BQ46" i="27" s="1"/>
  <c r="BN14" i="27"/>
  <c r="BM14" i="27"/>
  <c r="BQ14" i="27" s="1"/>
  <c r="BN51" i="27"/>
  <c r="BN39" i="27"/>
  <c r="BM39" i="27"/>
  <c r="BQ39" i="27" s="1"/>
  <c r="BN29" i="27"/>
  <c r="BM29" i="27"/>
  <c r="BQ29" i="27" s="1"/>
  <c r="BN19" i="27"/>
  <c r="BM19" i="27"/>
  <c r="BQ19" i="27" s="1"/>
  <c r="BN44" i="27"/>
  <c r="BM44" i="27"/>
  <c r="BQ44" i="27" s="1"/>
  <c r="BN34" i="27"/>
  <c r="BM34" i="27"/>
  <c r="BQ34" i="27" s="1"/>
  <c r="BN24" i="27"/>
  <c r="BM24" i="27"/>
  <c r="BQ24" i="27" s="1"/>
  <c r="BN38" i="27"/>
  <c r="BM38" i="27"/>
  <c r="BQ38" i="27" s="1"/>
  <c r="BN42" i="27"/>
  <c r="BM42" i="27"/>
  <c r="BQ42" i="27" s="1"/>
  <c r="BN37" i="27"/>
  <c r="BM37" i="27"/>
  <c r="BQ37" i="27" s="1"/>
  <c r="BN18" i="27"/>
  <c r="BM18" i="27"/>
  <c r="BQ18" i="27" s="1"/>
  <c r="BN30" i="27"/>
  <c r="BM30" i="27"/>
  <c r="BQ30" i="27" s="1"/>
  <c r="BN55" i="27"/>
  <c r="BM55" i="27"/>
  <c r="BQ55" i="27" s="1"/>
  <c r="BM45" i="27"/>
  <c r="BQ45" i="27" s="1"/>
  <c r="BN35" i="27"/>
  <c r="BM35" i="27"/>
  <c r="BQ35" i="27" s="1"/>
  <c r="BN23" i="27"/>
  <c r="BM23" i="27"/>
  <c r="BQ23" i="27" s="1"/>
  <c r="BN50" i="27"/>
  <c r="BM50" i="27"/>
  <c r="BQ50" i="27" s="1"/>
  <c r="BN28" i="27"/>
  <c r="BM28" i="27"/>
  <c r="BQ28" i="27" s="1"/>
  <c r="BN16" i="27"/>
  <c r="BM16" i="27"/>
  <c r="BQ16" i="27" s="1"/>
  <c r="BN54" i="27"/>
  <c r="BM54" i="27"/>
  <c r="BQ54" i="27" s="1"/>
  <c r="BN33" i="27"/>
  <c r="BM33" i="27"/>
  <c r="BQ33" i="27" s="1"/>
  <c r="BN53" i="27"/>
  <c r="BM53" i="27"/>
  <c r="BQ53" i="27" s="1"/>
  <c r="BN21" i="27"/>
  <c r="BN48" i="27"/>
  <c r="BM48" i="27"/>
  <c r="BQ48" i="27" s="1"/>
  <c r="BN36" i="27"/>
  <c r="BM36" i="27"/>
  <c r="BQ36" i="27" s="1"/>
  <c r="BN26" i="27"/>
  <c r="BM26" i="27"/>
  <c r="BQ26" i="27" s="1"/>
  <c r="E13" i="27"/>
  <c r="CB62" i="25"/>
  <c r="CB55" i="25"/>
  <c r="CB15" i="25"/>
  <c r="CB17" i="25"/>
  <c r="CB19" i="25"/>
  <c r="CB21" i="25"/>
  <c r="CB23" i="25"/>
  <c r="CB25" i="25"/>
  <c r="CB27" i="25"/>
  <c r="CB29" i="25"/>
  <c r="CB31" i="25"/>
  <c r="CB33" i="25"/>
  <c r="CB35" i="25"/>
  <c r="CB37" i="25"/>
  <c r="CB39" i="25"/>
  <c r="CB41" i="25"/>
  <c r="CB43" i="25"/>
  <c r="CB45" i="25"/>
  <c r="CB47" i="25"/>
  <c r="CB49" i="25"/>
  <c r="CB53" i="25"/>
  <c r="CB51" i="25"/>
  <c r="CB16" i="25"/>
  <c r="CB18" i="25"/>
  <c r="CB20" i="25"/>
  <c r="CB22" i="25"/>
  <c r="CB24" i="25"/>
  <c r="CB26" i="25"/>
  <c r="CB28" i="25"/>
  <c r="CB30" i="25"/>
  <c r="CB32" i="25"/>
  <c r="CB34" i="25"/>
  <c r="CB36" i="25"/>
  <c r="CB38" i="25"/>
  <c r="CB40" i="25"/>
  <c r="CB42" i="25"/>
  <c r="CB44" i="25"/>
  <c r="CB46" i="25"/>
  <c r="CB48" i="25"/>
  <c r="CB50" i="25"/>
  <c r="CB52" i="25"/>
  <c r="CB54" i="25"/>
  <c r="CB56" i="25"/>
  <c r="BM44" i="28" l="1"/>
  <c r="BQ44" i="28" s="1"/>
  <c r="BM49" i="27"/>
  <c r="BQ49" i="27" s="1"/>
  <c r="BN52" i="27"/>
  <c r="BN29" i="28"/>
  <c r="BM40" i="27"/>
  <c r="BQ40" i="27" s="1"/>
  <c r="BM32" i="28"/>
  <c r="BQ32" i="28" s="1"/>
  <c r="BM22" i="27"/>
  <c r="BQ22" i="27" s="1"/>
  <c r="BN20" i="27"/>
  <c r="BM61" i="27"/>
  <c r="G60" i="14" s="1"/>
  <c r="BM37" i="28"/>
  <c r="BQ37" i="28" s="1"/>
  <c r="BN28" i="28"/>
  <c r="BN46" i="28"/>
  <c r="BN43" i="27"/>
  <c r="BR43" i="27" s="1"/>
  <c r="BN47" i="27"/>
  <c r="BR47" i="27" s="1"/>
  <c r="BM54" i="28"/>
  <c r="BQ54" i="28" s="1"/>
  <c r="BN52" i="28"/>
  <c r="BR52" i="28" s="1"/>
  <c r="BN54" i="28"/>
  <c r="BR54" i="28" s="1"/>
  <c r="CA61" i="28"/>
  <c r="BM27" i="27"/>
  <c r="BQ27" i="27" s="1"/>
  <c r="H55" i="14"/>
  <c r="BQ61" i="28"/>
  <c r="J55" i="14"/>
  <c r="BN20" i="28"/>
  <c r="BR24" i="28"/>
  <c r="BR47" i="28"/>
  <c r="BR32" i="28"/>
  <c r="BR39" i="28"/>
  <c r="BR15" i="27"/>
  <c r="BR41" i="27"/>
  <c r="BR26" i="27"/>
  <c r="BR48" i="27"/>
  <c r="BR33" i="27"/>
  <c r="BR54" i="27"/>
  <c r="BR16" i="27"/>
  <c r="BR40" i="27"/>
  <c r="BR23" i="27"/>
  <c r="BR45" i="27"/>
  <c r="BR30" i="27"/>
  <c r="BR37" i="27"/>
  <c r="BR42" i="27"/>
  <c r="BR27" i="27"/>
  <c r="BR38" i="27"/>
  <c r="BR34" i="27"/>
  <c r="BR61" i="27"/>
  <c r="BR29" i="27"/>
  <c r="BR51" i="27"/>
  <c r="BR46" i="27"/>
  <c r="BR17" i="27"/>
  <c r="BR22" i="28"/>
  <c r="BR33" i="28"/>
  <c r="BR43" i="28"/>
  <c r="BR41" i="28"/>
  <c r="BR48" i="28"/>
  <c r="BR36" i="28"/>
  <c r="BR21" i="28"/>
  <c r="BR53" i="28"/>
  <c r="BR28" i="28"/>
  <c r="BR50" i="28"/>
  <c r="BR31" i="28"/>
  <c r="BR16" i="28"/>
  <c r="BR26" i="28"/>
  <c r="BR37" i="28"/>
  <c r="BR23" i="28"/>
  <c r="BR55" i="28"/>
  <c r="BR51" i="28"/>
  <c r="BR44" i="28"/>
  <c r="BR40" i="28"/>
  <c r="BR42" i="28"/>
  <c r="BR30" i="28"/>
  <c r="BR36" i="27"/>
  <c r="BR21" i="27"/>
  <c r="BR53" i="27"/>
  <c r="BR22" i="27"/>
  <c r="BR49" i="27"/>
  <c r="BR28" i="27"/>
  <c r="BR50" i="27"/>
  <c r="BR35" i="27"/>
  <c r="BR55" i="27"/>
  <c r="BR18" i="27"/>
  <c r="BR20" i="27"/>
  <c r="BR52" i="27"/>
  <c r="BR24" i="27"/>
  <c r="BR44" i="27"/>
  <c r="BR19" i="27"/>
  <c r="BR39" i="27"/>
  <c r="BR14" i="27"/>
  <c r="BR25" i="27"/>
  <c r="BR17" i="28"/>
  <c r="BR38" i="28"/>
  <c r="BR49" i="28"/>
  <c r="BR27" i="28"/>
  <c r="BR25" i="28"/>
  <c r="BR18" i="28"/>
  <c r="BR29" i="28"/>
  <c r="BR61" i="28"/>
  <c r="BR45" i="28"/>
  <c r="BM31" i="27"/>
  <c r="BQ31" i="27" s="1"/>
  <c r="BM32" i="27"/>
  <c r="BQ32" i="27" s="1"/>
  <c r="BN31" i="27"/>
  <c r="CA31" i="27" s="1"/>
  <c r="BN32" i="27"/>
  <c r="BM41" i="27"/>
  <c r="BQ41" i="27" s="1"/>
  <c r="BM15" i="27"/>
  <c r="BQ15" i="27" s="1"/>
  <c r="BN14" i="28"/>
  <c r="BN34" i="28"/>
  <c r="CA34" i="28" s="1"/>
  <c r="BM15" i="28"/>
  <c r="BQ15" i="28" s="1"/>
  <c r="BN19" i="28"/>
  <c r="BN35" i="28"/>
  <c r="CA51" i="27"/>
  <c r="CA34" i="27"/>
  <c r="CA61" i="27"/>
  <c r="CA46" i="27"/>
  <c r="CA38" i="27"/>
  <c r="CA38" i="28"/>
  <c r="CA23" i="27"/>
  <c r="CA15" i="27"/>
  <c r="BM51" i="28"/>
  <c r="BQ51" i="28" s="1"/>
  <c r="CA49" i="27"/>
  <c r="CA24" i="28"/>
  <c r="BM45" i="28"/>
  <c r="BQ45" i="28" s="1"/>
  <c r="CA44" i="27"/>
  <c r="CA26" i="28"/>
  <c r="CA29" i="27"/>
  <c r="CA55" i="28"/>
  <c r="CA29" i="28"/>
  <c r="CA20" i="27"/>
  <c r="CA52" i="27"/>
  <c r="CA24" i="27"/>
  <c r="CA14" i="27"/>
  <c r="CA17" i="28"/>
  <c r="CA18" i="28"/>
  <c r="CA31" i="28"/>
  <c r="O13" i="27"/>
  <c r="CA26" i="27"/>
  <c r="O13" i="28"/>
  <c r="BM13" i="28" s="1"/>
  <c r="BQ13" i="28" s="1"/>
  <c r="CA53" i="27"/>
  <c r="CA50" i="27"/>
  <c r="CA27" i="27"/>
  <c r="CA39" i="27"/>
  <c r="CA18" i="27"/>
  <c r="CA19" i="27"/>
  <c r="CA25" i="27"/>
  <c r="CA40" i="28"/>
  <c r="CA45" i="27"/>
  <c r="CA42" i="27"/>
  <c r="CA28" i="27"/>
  <c r="CA37" i="27"/>
  <c r="CA43" i="28"/>
  <c r="CA41" i="28"/>
  <c r="CA45" i="28"/>
  <c r="CA47" i="28"/>
  <c r="CA15" i="28"/>
  <c r="CA32" i="28"/>
  <c r="CA53" i="28"/>
  <c r="CA39" i="28"/>
  <c r="CA30" i="28"/>
  <c r="CA36" i="27"/>
  <c r="CA21" i="27"/>
  <c r="CA43" i="27"/>
  <c r="CA33" i="27"/>
  <c r="CA54" i="27"/>
  <c r="CA16" i="27"/>
  <c r="CA40" i="27"/>
  <c r="CA41" i="27"/>
  <c r="CA47" i="27"/>
  <c r="CA28" i="28"/>
  <c r="CA48" i="28"/>
  <c r="CA36" i="28"/>
  <c r="CA22" i="28"/>
  <c r="CA33" i="28"/>
  <c r="CA21" i="28"/>
  <c r="CA42" i="28"/>
  <c r="CA48" i="27"/>
  <c r="CA22" i="27"/>
  <c r="CA35" i="27"/>
  <c r="CA55" i="27"/>
  <c r="CA30" i="27"/>
  <c r="CA49" i="28"/>
  <c r="CA27" i="28"/>
  <c r="CA25" i="28"/>
  <c r="CA50" i="28"/>
  <c r="CA16" i="28"/>
  <c r="CA37" i="28"/>
  <c r="CA23" i="28"/>
  <c r="CA51" i="28"/>
  <c r="CA44" i="28"/>
  <c r="C3" i="27"/>
  <c r="C3" i="28"/>
  <c r="C3" i="2"/>
  <c r="C4" i="14"/>
  <c r="BR15" i="28" l="1"/>
  <c r="BQ61" i="27"/>
  <c r="CA20" i="28"/>
  <c r="CA52" i="28"/>
  <c r="BR20" i="28"/>
  <c r="CA46" i="28"/>
  <c r="BR46" i="28"/>
  <c r="CA54" i="28"/>
  <c r="CA19" i="28"/>
  <c r="BR19" i="28"/>
  <c r="BR32" i="27"/>
  <c r="CA35" i="28"/>
  <c r="BR35" i="28"/>
  <c r="BR34" i="28"/>
  <c r="BR31" i="27"/>
  <c r="BR14" i="28"/>
  <c r="CA32" i="27"/>
  <c r="CA14" i="28"/>
  <c r="BM13" i="27"/>
  <c r="BQ13" i="27" s="1"/>
  <c r="BN13" i="27"/>
  <c r="BN13" i="28"/>
  <c r="BZ14" i="25"/>
  <c r="CD14" i="25" s="1"/>
  <c r="CA13" i="27" l="1"/>
  <c r="BR13" i="27"/>
  <c r="BR13" i="28"/>
  <c r="CA13" i="28"/>
  <c r="E14" i="25"/>
  <c r="CB14" i="25"/>
  <c r="AF40" i="1"/>
  <c r="AG40" i="1"/>
  <c r="AS40" i="1"/>
  <c r="AF41" i="1"/>
  <c r="AG41" i="1"/>
  <c r="AS41" i="1"/>
  <c r="AF42" i="1"/>
  <c r="AG42" i="1"/>
  <c r="AS42" i="1"/>
  <c r="AF43" i="1"/>
  <c r="AG43" i="1"/>
  <c r="AS43" i="1"/>
  <c r="AF44" i="1"/>
  <c r="AG44" i="1"/>
  <c r="AS44" i="1"/>
  <c r="AF45" i="1"/>
  <c r="AG45" i="1"/>
  <c r="AS45" i="1"/>
  <c r="AF46" i="1"/>
  <c r="AG46" i="1"/>
  <c r="AS46" i="1"/>
  <c r="AF47" i="1"/>
  <c r="AG47" i="1"/>
  <c r="AS47" i="1"/>
  <c r="AF48" i="1"/>
  <c r="AG48" i="1"/>
  <c r="AS48" i="1"/>
  <c r="AF49" i="1"/>
  <c r="AG49" i="1"/>
  <c r="AS49" i="1"/>
  <c r="AF50" i="1"/>
  <c r="AG50" i="1"/>
  <c r="AS50" i="1"/>
  <c r="AF51" i="1"/>
  <c r="AG51" i="1"/>
  <c r="AS51" i="1"/>
  <c r="AF52" i="1"/>
  <c r="AG52" i="1"/>
  <c r="AS52" i="1"/>
  <c r="AF53" i="1"/>
  <c r="AG53" i="1"/>
  <c r="AS53" i="1"/>
  <c r="AF59" i="1"/>
  <c r="AG59" i="1"/>
  <c r="AS59" i="1"/>
  <c r="AL59" i="1" l="1"/>
  <c r="AL52" i="1"/>
  <c r="AL50" i="1"/>
  <c r="AL48" i="1"/>
  <c r="AL42" i="1"/>
  <c r="AL40" i="1"/>
  <c r="AL46" i="1"/>
  <c r="AL44" i="1"/>
  <c r="AL53" i="1"/>
  <c r="AL51" i="1"/>
  <c r="AL49" i="1"/>
  <c r="AL47" i="1"/>
  <c r="AL45" i="1"/>
  <c r="AL43" i="1"/>
  <c r="AL41" i="1"/>
  <c r="B61" i="27"/>
  <c r="B61" i="28"/>
  <c r="B61" i="2"/>
  <c r="B55" i="27"/>
  <c r="B55" i="28"/>
  <c r="B55" i="2"/>
  <c r="B54" i="27"/>
  <c r="B54" i="28"/>
  <c r="B54" i="2"/>
  <c r="B53" i="27"/>
  <c r="B53" i="28"/>
  <c r="B53" i="2"/>
  <c r="B52" i="27"/>
  <c r="B52" i="28"/>
  <c r="B52" i="2"/>
  <c r="B51" i="27"/>
  <c r="B51" i="28"/>
  <c r="B51" i="2"/>
  <c r="B50" i="27"/>
  <c r="B50" i="28"/>
  <c r="B50" i="2"/>
  <c r="B49" i="27"/>
  <c r="B49" i="28"/>
  <c r="B49" i="2"/>
  <c r="B48" i="27"/>
  <c r="B48" i="28"/>
  <c r="B48" i="2"/>
  <c r="B47" i="27"/>
  <c r="B47" i="28"/>
  <c r="B47" i="2"/>
  <c r="B46" i="27"/>
  <c r="B46" i="28"/>
  <c r="B46" i="2"/>
  <c r="B45" i="27"/>
  <c r="B45" i="28"/>
  <c r="B45" i="2"/>
  <c r="B44" i="27"/>
  <c r="B44" i="28"/>
  <c r="B44" i="2"/>
  <c r="B43" i="27"/>
  <c r="B43" i="28"/>
  <c r="B43" i="2"/>
  <c r="B37" i="27"/>
  <c r="B37" i="28"/>
  <c r="B37" i="2"/>
  <c r="B42" i="2"/>
  <c r="B42" i="28"/>
  <c r="B42" i="27"/>
  <c r="B41" i="27"/>
  <c r="B41" i="28"/>
  <c r="B41" i="2"/>
  <c r="B40" i="2"/>
  <c r="B40" i="28"/>
  <c r="B40" i="27"/>
  <c r="B39" i="2"/>
  <c r="B39" i="28"/>
  <c r="B39" i="27"/>
  <c r="T53" i="14" l="1"/>
  <c r="T45" i="14"/>
  <c r="T49" i="14"/>
  <c r="T41" i="14"/>
  <c r="T51" i="14"/>
  <c r="T60" i="14"/>
  <c r="T43" i="14"/>
  <c r="T47" i="14"/>
  <c r="T42" i="14"/>
  <c r="T46" i="14"/>
  <c r="T50" i="14"/>
  <c r="T54" i="14"/>
  <c r="T44" i="14"/>
  <c r="T48" i="14"/>
  <c r="T52" i="14"/>
  <c r="B42" i="25" l="1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62" i="25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E61" i="2" l="1"/>
  <c r="O61" i="2" s="1"/>
  <c r="E55" i="2"/>
  <c r="O55" i="2" s="1"/>
  <c r="E54" i="2"/>
  <c r="O54" i="2" s="1"/>
  <c r="E53" i="2"/>
  <c r="O53" i="2" s="1"/>
  <c r="E52" i="2"/>
  <c r="O52" i="2" s="1"/>
  <c r="E51" i="2"/>
  <c r="O51" i="2" s="1"/>
  <c r="E50" i="2"/>
  <c r="O50" i="2" s="1"/>
  <c r="E49" i="2"/>
  <c r="O49" i="2" s="1"/>
  <c r="E48" i="2"/>
  <c r="O48" i="2" s="1"/>
  <c r="E47" i="2"/>
  <c r="O47" i="2" s="1"/>
  <c r="E46" i="2"/>
  <c r="O46" i="2" s="1"/>
  <c r="E45" i="2"/>
  <c r="O45" i="2" s="1"/>
  <c r="E44" i="2"/>
  <c r="O44" i="2" s="1"/>
  <c r="E43" i="2"/>
  <c r="O43" i="2" s="1"/>
  <c r="E42" i="2"/>
  <c r="O42" i="2" s="1"/>
  <c r="E41" i="2"/>
  <c r="O41" i="2" s="1"/>
  <c r="BN46" i="2" l="1"/>
  <c r="BM46" i="2"/>
  <c r="BN41" i="2"/>
  <c r="BM41" i="2"/>
  <c r="BQ41" i="2" s="1"/>
  <c r="BN45" i="2"/>
  <c r="BM45" i="2"/>
  <c r="BQ45" i="2" s="1"/>
  <c r="BN49" i="2"/>
  <c r="BM49" i="2"/>
  <c r="BQ49" i="2" s="1"/>
  <c r="BN53" i="2"/>
  <c r="BM53" i="2"/>
  <c r="BQ53" i="2" s="1"/>
  <c r="BN50" i="2"/>
  <c r="BM50" i="2"/>
  <c r="BQ50" i="2" s="1"/>
  <c r="BN54" i="2"/>
  <c r="BM54" i="2"/>
  <c r="BQ54" i="2" s="1"/>
  <c r="BN43" i="2"/>
  <c r="BM43" i="2"/>
  <c r="BQ43" i="2" s="1"/>
  <c r="BN47" i="2"/>
  <c r="BM47" i="2"/>
  <c r="BQ47" i="2" s="1"/>
  <c r="BN51" i="2"/>
  <c r="BM51" i="2"/>
  <c r="BQ51" i="2" s="1"/>
  <c r="BN55" i="2"/>
  <c r="BM55" i="2"/>
  <c r="BQ55" i="2" s="1"/>
  <c r="BN42" i="2"/>
  <c r="BM42" i="2"/>
  <c r="BQ42" i="2" s="1"/>
  <c r="BN44" i="2"/>
  <c r="BM44" i="2"/>
  <c r="BQ44" i="2" s="1"/>
  <c r="BN48" i="2"/>
  <c r="BM48" i="2"/>
  <c r="BQ48" i="2" s="1"/>
  <c r="BN52" i="2"/>
  <c r="BM52" i="2"/>
  <c r="BQ52" i="2" s="1"/>
  <c r="BN61" i="2"/>
  <c r="BM61" i="2"/>
  <c r="E60" i="14" s="1"/>
  <c r="CA46" i="2"/>
  <c r="BQ46" i="2"/>
  <c r="BU42" i="28"/>
  <c r="BU46" i="28"/>
  <c r="BU50" i="28"/>
  <c r="BU43" i="28"/>
  <c r="BU47" i="28"/>
  <c r="BU44" i="28"/>
  <c r="BU52" i="28"/>
  <c r="BU61" i="28"/>
  <c r="BU45" i="28"/>
  <c r="C5" i="14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38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C9" i="28"/>
  <c r="B9" i="28"/>
  <c r="C8" i="28"/>
  <c r="B8" i="28"/>
  <c r="C7" i="28"/>
  <c r="B7" i="28"/>
  <c r="C6" i="28"/>
  <c r="B6" i="28"/>
  <c r="C4" i="28"/>
  <c r="C2" i="28"/>
  <c r="C5" i="28"/>
  <c r="C1" i="28"/>
  <c r="B38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C9" i="27"/>
  <c r="B9" i="27"/>
  <c r="C8" i="27"/>
  <c r="B8" i="27"/>
  <c r="C7" i="27"/>
  <c r="B7" i="27"/>
  <c r="C6" i="27"/>
  <c r="B6" i="27"/>
  <c r="C4" i="27"/>
  <c r="C2" i="27"/>
  <c r="C5" i="27"/>
  <c r="C1" i="27"/>
  <c r="C7" i="2"/>
  <c r="C8" i="2"/>
  <c r="C9" i="2"/>
  <c r="B9" i="2"/>
  <c r="B8" i="2"/>
  <c r="B7" i="2"/>
  <c r="B6" i="2"/>
  <c r="B38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C2" i="14"/>
  <c r="C3" i="14"/>
  <c r="C1" i="14"/>
  <c r="C6" i="2"/>
  <c r="C2" i="2"/>
  <c r="C4" i="2"/>
  <c r="C1" i="2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F22" i="1"/>
  <c r="AG22" i="1"/>
  <c r="AF23" i="1"/>
  <c r="AG23" i="1"/>
  <c r="AF24" i="1"/>
  <c r="AG24" i="1"/>
  <c r="AF25" i="1"/>
  <c r="AG25" i="1"/>
  <c r="AF26" i="1"/>
  <c r="AG26" i="1"/>
  <c r="AF27" i="1"/>
  <c r="AG27" i="1"/>
  <c r="AF28" i="1"/>
  <c r="AG28" i="1"/>
  <c r="AF29" i="1"/>
  <c r="AG29" i="1"/>
  <c r="AF30" i="1"/>
  <c r="AG30" i="1"/>
  <c r="AF31" i="1"/>
  <c r="AG31" i="1"/>
  <c r="AF32" i="1"/>
  <c r="AG32" i="1"/>
  <c r="AF33" i="1"/>
  <c r="AG33" i="1"/>
  <c r="AF34" i="1"/>
  <c r="AG34" i="1"/>
  <c r="AF35" i="1"/>
  <c r="AG35" i="1"/>
  <c r="AF36" i="1"/>
  <c r="AG36" i="1"/>
  <c r="AF37" i="1"/>
  <c r="AG37" i="1"/>
  <c r="AF38" i="1"/>
  <c r="AG38" i="1"/>
  <c r="AF39" i="1"/>
  <c r="AG39" i="1"/>
  <c r="AS12" i="1"/>
  <c r="AS13" i="1"/>
  <c r="AS14" i="1"/>
  <c r="AS15" i="1"/>
  <c r="AS16" i="1"/>
  <c r="AS17" i="1"/>
  <c r="AS18" i="1"/>
  <c r="AS19" i="1"/>
  <c r="AS20" i="1"/>
  <c r="AS21" i="1"/>
  <c r="AS11" i="1"/>
  <c r="B16" i="25"/>
  <c r="B15" i="25"/>
  <c r="B14" i="25"/>
  <c r="C5" i="2"/>
  <c r="AG12" i="1"/>
  <c r="AG13" i="1"/>
  <c r="AG14" i="1"/>
  <c r="AG15" i="1"/>
  <c r="AG16" i="1"/>
  <c r="AG17" i="1"/>
  <c r="AG18" i="1"/>
  <c r="AG19" i="1"/>
  <c r="AG20" i="1"/>
  <c r="AG21" i="1"/>
  <c r="AG11" i="1"/>
  <c r="AF12" i="1"/>
  <c r="AF13" i="1"/>
  <c r="AF14" i="1"/>
  <c r="AF15" i="1"/>
  <c r="AF16" i="1"/>
  <c r="AF17" i="1"/>
  <c r="AF18" i="1"/>
  <c r="AF19" i="1"/>
  <c r="AF20" i="1"/>
  <c r="AF21" i="1"/>
  <c r="AF11" i="1"/>
  <c r="AG62" i="1" l="1"/>
  <c r="AF62" i="1"/>
  <c r="BQ61" i="2"/>
  <c r="BR61" i="2"/>
  <c r="BR48" i="2"/>
  <c r="BR42" i="2"/>
  <c r="BR51" i="2"/>
  <c r="BR43" i="2"/>
  <c r="BR50" i="2"/>
  <c r="BR49" i="2"/>
  <c r="BR41" i="2"/>
  <c r="BR52" i="2"/>
  <c r="BR44" i="2"/>
  <c r="BR55" i="2"/>
  <c r="BR47" i="2"/>
  <c r="BR54" i="2"/>
  <c r="BR53" i="2"/>
  <c r="BR45" i="2"/>
  <c r="BR46" i="2"/>
  <c r="CA45" i="2"/>
  <c r="CA47" i="2"/>
  <c r="CA54" i="2"/>
  <c r="CA53" i="2"/>
  <c r="CA44" i="2"/>
  <c r="CA52" i="2"/>
  <c r="CA55" i="2"/>
  <c r="CA61" i="2"/>
  <c r="CA48" i="2"/>
  <c r="CA42" i="2"/>
  <c r="CA51" i="2"/>
  <c r="CA43" i="2"/>
  <c r="CA50" i="2"/>
  <c r="CA49" i="2"/>
  <c r="CA41" i="2"/>
  <c r="BU53" i="28"/>
  <c r="BU49" i="28"/>
  <c r="BU51" i="28"/>
  <c r="BU54" i="28"/>
  <c r="BU41" i="28"/>
  <c r="BU55" i="28"/>
  <c r="BU48" i="28"/>
  <c r="BT52" i="27"/>
  <c r="BT52" i="28"/>
  <c r="BV52" i="28" s="1"/>
  <c r="BT44" i="27"/>
  <c r="BT44" i="28"/>
  <c r="BV44" i="28" s="1"/>
  <c r="BT54" i="28"/>
  <c r="BT54" i="27"/>
  <c r="BT53" i="27"/>
  <c r="BT53" i="28"/>
  <c r="BT51" i="28"/>
  <c r="BT51" i="27"/>
  <c r="BT46" i="27"/>
  <c r="BT46" i="28"/>
  <c r="BV46" i="28" s="1"/>
  <c r="BT55" i="28"/>
  <c r="BT55" i="27"/>
  <c r="BT43" i="27"/>
  <c r="BT43" i="28"/>
  <c r="BV43" i="28" s="1"/>
  <c r="BT49" i="27"/>
  <c r="BT49" i="28"/>
  <c r="BV49" i="28" s="1"/>
  <c r="BT41" i="27"/>
  <c r="BT41" i="28"/>
  <c r="BV41" i="28" s="1"/>
  <c r="BT45" i="27"/>
  <c r="BT45" i="28"/>
  <c r="BV45" i="28" s="1"/>
  <c r="BT61" i="28"/>
  <c r="BV61" i="28" s="1"/>
  <c r="BT61" i="27"/>
  <c r="BT48" i="27"/>
  <c r="BT48" i="28"/>
  <c r="BT50" i="27"/>
  <c r="BT50" i="28"/>
  <c r="BV50" i="28" s="1"/>
  <c r="BT42" i="28"/>
  <c r="BV42" i="28" s="1"/>
  <c r="BT42" i="27"/>
  <c r="BU35" i="28"/>
  <c r="E13" i="2"/>
  <c r="O13" i="2" s="1"/>
  <c r="E36" i="2"/>
  <c r="O36" i="2" s="1"/>
  <c r="E34" i="2"/>
  <c r="O34" i="2" s="1"/>
  <c r="E32" i="2"/>
  <c r="O32" i="2" s="1"/>
  <c r="E30" i="2"/>
  <c r="O30" i="2" s="1"/>
  <c r="E28" i="2"/>
  <c r="O28" i="2" s="1"/>
  <c r="E26" i="2"/>
  <c r="O26" i="2" s="1"/>
  <c r="E24" i="2"/>
  <c r="O24" i="2" s="1"/>
  <c r="E22" i="2"/>
  <c r="O22" i="2" s="1"/>
  <c r="E20" i="2"/>
  <c r="O20" i="2" s="1"/>
  <c r="E18" i="2"/>
  <c r="O18" i="2" s="1"/>
  <c r="E16" i="2"/>
  <c r="O16" i="2" s="1"/>
  <c r="E15" i="2"/>
  <c r="O15" i="2" s="1"/>
  <c r="E14" i="2"/>
  <c r="O14" i="2" s="1"/>
  <c r="E39" i="2"/>
  <c r="O39" i="2" s="1"/>
  <c r="E37" i="2"/>
  <c r="O37" i="2" s="1"/>
  <c r="E35" i="2"/>
  <c r="O35" i="2" s="1"/>
  <c r="E33" i="2"/>
  <c r="O33" i="2" s="1"/>
  <c r="E31" i="2"/>
  <c r="O31" i="2" s="1"/>
  <c r="E29" i="2"/>
  <c r="O29" i="2" s="1"/>
  <c r="E27" i="2"/>
  <c r="O27" i="2" s="1"/>
  <c r="E25" i="2"/>
  <c r="O25" i="2" s="1"/>
  <c r="E23" i="2"/>
  <c r="O23" i="2" s="1"/>
  <c r="E21" i="2"/>
  <c r="O21" i="2" s="1"/>
  <c r="E19" i="2"/>
  <c r="O19" i="2" s="1"/>
  <c r="J60" i="14"/>
  <c r="H60" i="14"/>
  <c r="E17" i="2"/>
  <c r="O17" i="2" s="1"/>
  <c r="E40" i="2"/>
  <c r="O40" i="2" s="1"/>
  <c r="E38" i="2"/>
  <c r="O38" i="2" s="1"/>
  <c r="E52" i="14"/>
  <c r="BO54" i="28"/>
  <c r="BO46" i="28"/>
  <c r="BO55" i="28"/>
  <c r="BO47" i="28"/>
  <c r="BO45" i="28"/>
  <c r="BO51" i="27"/>
  <c r="BO41" i="28"/>
  <c r="BO43" i="28"/>
  <c r="BO44" i="28"/>
  <c r="BO54" i="27"/>
  <c r="BO42" i="28"/>
  <c r="BO54" i="2"/>
  <c r="BO42" i="2"/>
  <c r="BO51" i="2"/>
  <c r="BO45" i="2"/>
  <c r="BO41" i="2"/>
  <c r="E42" i="14"/>
  <c r="BO41" i="27"/>
  <c r="BO43" i="27"/>
  <c r="BO49" i="27"/>
  <c r="BO42" i="27"/>
  <c r="BO44" i="27"/>
  <c r="BO48" i="27"/>
  <c r="BO50" i="27"/>
  <c r="AL29" i="1"/>
  <c r="I42" i="14"/>
  <c r="J42" i="14" s="1"/>
  <c r="I40" i="14"/>
  <c r="J40" i="14" s="1"/>
  <c r="I43" i="14"/>
  <c r="J43" i="14" s="1"/>
  <c r="I41" i="14"/>
  <c r="J41" i="14" s="1"/>
  <c r="G53" i="14"/>
  <c r="H53" i="14" s="1"/>
  <c r="G46" i="14"/>
  <c r="H46" i="14" s="1"/>
  <c r="G49" i="14"/>
  <c r="H49" i="14" s="1"/>
  <c r="G47" i="14"/>
  <c r="H47" i="14" s="1"/>
  <c r="G43" i="14"/>
  <c r="H43" i="14" s="1"/>
  <c r="G42" i="14"/>
  <c r="H42" i="14" s="1"/>
  <c r="G41" i="14"/>
  <c r="H41" i="14" s="1"/>
  <c r="G40" i="14"/>
  <c r="H40" i="14" s="1"/>
  <c r="AL24" i="1"/>
  <c r="AL19" i="1"/>
  <c r="AL30" i="1"/>
  <c r="AL25" i="1"/>
  <c r="T26" i="14" s="1"/>
  <c r="H7" i="1"/>
  <c r="H8" i="1"/>
  <c r="H6" i="1"/>
  <c r="AL20" i="1"/>
  <c r="AL18" i="1"/>
  <c r="AL16" i="1"/>
  <c r="AL14" i="1"/>
  <c r="AL12" i="1"/>
  <c r="AL21" i="1"/>
  <c r="AL17" i="1"/>
  <c r="AL15" i="1"/>
  <c r="AL39" i="1"/>
  <c r="AL38" i="1"/>
  <c r="AL37" i="1"/>
  <c r="AL36" i="1"/>
  <c r="AL35" i="1"/>
  <c r="AL34" i="1"/>
  <c r="AL33" i="1"/>
  <c r="AL32" i="1"/>
  <c r="AL31" i="1"/>
  <c r="AL28" i="1"/>
  <c r="AL27" i="1"/>
  <c r="AL26" i="1"/>
  <c r="AL23" i="1"/>
  <c r="AL22" i="1"/>
  <c r="I7" i="1"/>
  <c r="AL11" i="1"/>
  <c r="I6" i="1"/>
  <c r="I8" i="1"/>
  <c r="AL13" i="1"/>
  <c r="AL62" i="1" l="1"/>
  <c r="F55" i="14"/>
  <c r="L55" i="14"/>
  <c r="BN21" i="2"/>
  <c r="CA21" i="2" s="1"/>
  <c r="BM21" i="2"/>
  <c r="BQ21" i="2" s="1"/>
  <c r="BN37" i="2"/>
  <c r="BM37" i="2"/>
  <c r="BQ37" i="2" s="1"/>
  <c r="BN40" i="2"/>
  <c r="BM40" i="2"/>
  <c r="BQ40" i="2" s="1"/>
  <c r="BM23" i="2"/>
  <c r="BQ23" i="2" s="1"/>
  <c r="BN23" i="2"/>
  <c r="BM31" i="2"/>
  <c r="BQ31" i="2" s="1"/>
  <c r="BN31" i="2"/>
  <c r="BM39" i="2"/>
  <c r="BQ39" i="2" s="1"/>
  <c r="BN39" i="2"/>
  <c r="BN18" i="2"/>
  <c r="BM18" i="2"/>
  <c r="BQ18" i="2" s="1"/>
  <c r="BN26" i="2"/>
  <c r="BM26" i="2"/>
  <c r="BQ26" i="2" s="1"/>
  <c r="BN34" i="2"/>
  <c r="BM34" i="2"/>
  <c r="BQ34" i="2" s="1"/>
  <c r="BM17" i="2"/>
  <c r="BQ17" i="2" s="1"/>
  <c r="BN17" i="2"/>
  <c r="BN25" i="2"/>
  <c r="BM25" i="2"/>
  <c r="BN33" i="2"/>
  <c r="BM33" i="2"/>
  <c r="BQ33" i="2" s="1"/>
  <c r="BM14" i="2"/>
  <c r="BQ14" i="2" s="1"/>
  <c r="BN14" i="2"/>
  <c r="BN20" i="2"/>
  <c r="BM20" i="2"/>
  <c r="BQ20" i="2" s="1"/>
  <c r="BN28" i="2"/>
  <c r="BM28" i="2"/>
  <c r="BQ28" i="2" s="1"/>
  <c r="BN36" i="2"/>
  <c r="BM36" i="2"/>
  <c r="BQ36" i="2" s="1"/>
  <c r="BN19" i="2"/>
  <c r="BM19" i="2"/>
  <c r="BQ19" i="2" s="1"/>
  <c r="BM27" i="2"/>
  <c r="BQ27" i="2" s="1"/>
  <c r="BN27" i="2"/>
  <c r="BM35" i="2"/>
  <c r="BQ35" i="2" s="1"/>
  <c r="BN35" i="2"/>
  <c r="BN15" i="2"/>
  <c r="BM15" i="2"/>
  <c r="BQ15" i="2" s="1"/>
  <c r="BN22" i="2"/>
  <c r="BM22" i="2"/>
  <c r="BQ22" i="2" s="1"/>
  <c r="BN30" i="2"/>
  <c r="BM30" i="2"/>
  <c r="BQ30" i="2" s="1"/>
  <c r="BN13" i="2"/>
  <c r="BM13" i="2"/>
  <c r="BQ13" i="2" s="1"/>
  <c r="BN38" i="2"/>
  <c r="BM38" i="2"/>
  <c r="BQ38" i="2" s="1"/>
  <c r="BN29" i="2"/>
  <c r="BM29" i="2"/>
  <c r="BQ29" i="2" s="1"/>
  <c r="BN16" i="2"/>
  <c r="BM16" i="2"/>
  <c r="BQ16" i="2" s="1"/>
  <c r="BN24" i="2"/>
  <c r="BM24" i="2"/>
  <c r="BQ24" i="2" s="1"/>
  <c r="BN32" i="2"/>
  <c r="BM32" i="2"/>
  <c r="BQ32" i="2" s="1"/>
  <c r="CA25" i="2"/>
  <c r="BQ25" i="2"/>
  <c r="BV53" i="28"/>
  <c r="BV48" i="28"/>
  <c r="BV51" i="28"/>
  <c r="BV54" i="28"/>
  <c r="BV55" i="28"/>
  <c r="BT47" i="28"/>
  <c r="BV47" i="28" s="1"/>
  <c r="BT47" i="27"/>
  <c r="BU33" i="28"/>
  <c r="BU17" i="28"/>
  <c r="BU40" i="28"/>
  <c r="BU39" i="28"/>
  <c r="BU18" i="28"/>
  <c r="BU30" i="28"/>
  <c r="BU38" i="28"/>
  <c r="BU19" i="28"/>
  <c r="BU31" i="28"/>
  <c r="BU14" i="28"/>
  <c r="BU25" i="28"/>
  <c r="BU34" i="28"/>
  <c r="BU28" i="28"/>
  <c r="BU15" i="28"/>
  <c r="BU37" i="28"/>
  <c r="BU21" i="28"/>
  <c r="BU20" i="28"/>
  <c r="BU23" i="28"/>
  <c r="BU22" i="28"/>
  <c r="L60" i="14"/>
  <c r="L42" i="14"/>
  <c r="F52" i="14"/>
  <c r="F42" i="14"/>
  <c r="F60" i="14"/>
  <c r="BO61" i="27"/>
  <c r="I46" i="14"/>
  <c r="J46" i="14" s="1"/>
  <c r="I52" i="14"/>
  <c r="J52" i="14" s="1"/>
  <c r="I51" i="14"/>
  <c r="J51" i="14" s="1"/>
  <c r="BO53" i="28"/>
  <c r="I54" i="14"/>
  <c r="J54" i="14" s="1"/>
  <c r="I53" i="14"/>
  <c r="J53" i="14" s="1"/>
  <c r="BO52" i="28"/>
  <c r="I47" i="14"/>
  <c r="J47" i="14" s="1"/>
  <c r="I45" i="14"/>
  <c r="J45" i="14" s="1"/>
  <c r="I48" i="14"/>
  <c r="J48" i="14" s="1"/>
  <c r="BO48" i="28"/>
  <c r="I44" i="14"/>
  <c r="J44" i="14" s="1"/>
  <c r="I50" i="14"/>
  <c r="J50" i="14" s="1"/>
  <c r="BO50" i="28"/>
  <c r="I49" i="14"/>
  <c r="J49" i="14" s="1"/>
  <c r="G48" i="14"/>
  <c r="H48" i="14" s="1"/>
  <c r="BO45" i="27"/>
  <c r="G44" i="14"/>
  <c r="H44" i="14" s="1"/>
  <c r="G50" i="14"/>
  <c r="H50" i="14" s="1"/>
  <c r="G54" i="14"/>
  <c r="H54" i="14" s="1"/>
  <c r="BO47" i="27"/>
  <c r="G45" i="14"/>
  <c r="H45" i="14" s="1"/>
  <c r="BO46" i="27"/>
  <c r="G51" i="14"/>
  <c r="H51" i="14" s="1"/>
  <c r="BO61" i="28"/>
  <c r="BO55" i="27"/>
  <c r="BO49" i="28"/>
  <c r="BO53" i="27"/>
  <c r="BO52" i="27"/>
  <c r="BO51" i="28"/>
  <c r="E54" i="14"/>
  <c r="E51" i="14"/>
  <c r="E47" i="14"/>
  <c r="E53" i="14"/>
  <c r="BO44" i="2"/>
  <c r="E50" i="14"/>
  <c r="E41" i="14"/>
  <c r="L41" i="14" s="1"/>
  <c r="E40" i="14"/>
  <c r="L40" i="14" s="1"/>
  <c r="E43" i="14"/>
  <c r="L43" i="14" s="1"/>
  <c r="BO52" i="2"/>
  <c r="BO50" i="2"/>
  <c r="BO49" i="2"/>
  <c r="E48" i="14"/>
  <c r="E44" i="14"/>
  <c r="BO46" i="2"/>
  <c r="E45" i="14"/>
  <c r="T17" i="14"/>
  <c r="W17" i="14" s="1"/>
  <c r="E49" i="14"/>
  <c r="BO55" i="2"/>
  <c r="BO53" i="2"/>
  <c r="BO43" i="2"/>
  <c r="BO48" i="2"/>
  <c r="BO61" i="2"/>
  <c r="T18" i="14"/>
  <c r="T25" i="14"/>
  <c r="T29" i="14"/>
  <c r="T21" i="14"/>
  <c r="T22" i="14"/>
  <c r="T15" i="14"/>
  <c r="T30" i="14"/>
  <c r="T27" i="14"/>
  <c r="T33" i="14"/>
  <c r="T35" i="14"/>
  <c r="T39" i="14"/>
  <c r="T19" i="14"/>
  <c r="T36" i="14"/>
  <c r="T16" i="14"/>
  <c r="G52" i="14"/>
  <c r="H52" i="14" s="1"/>
  <c r="T13" i="14"/>
  <c r="T37" i="14"/>
  <c r="T20" i="14"/>
  <c r="T31" i="14"/>
  <c r="AH64" i="1"/>
  <c r="T40" i="14"/>
  <c r="J8" i="1"/>
  <c r="B27" i="76" s="1"/>
  <c r="T12" i="14"/>
  <c r="W12" i="14" s="1"/>
  <c r="T24" i="14"/>
  <c r="T28" i="14"/>
  <c r="T32" i="14"/>
  <c r="T34" i="14"/>
  <c r="T38" i="14"/>
  <c r="T23" i="14"/>
  <c r="AJ64" i="1"/>
  <c r="AF64" i="1"/>
  <c r="J7" i="1"/>
  <c r="B26" i="76" s="1"/>
  <c r="T14" i="14"/>
  <c r="J6" i="1"/>
  <c r="AB55" i="14" l="1"/>
  <c r="M55" i="14"/>
  <c r="O55" i="14"/>
  <c r="Q55" i="14"/>
  <c r="U55" i="14"/>
  <c r="BR32" i="2"/>
  <c r="BR16" i="2"/>
  <c r="BR38" i="2"/>
  <c r="BR30" i="2"/>
  <c r="BR15" i="2"/>
  <c r="BR36" i="2"/>
  <c r="BR20" i="2"/>
  <c r="BR33" i="2"/>
  <c r="BR26" i="2"/>
  <c r="BR37" i="2"/>
  <c r="BR35" i="2"/>
  <c r="BR31" i="2"/>
  <c r="AB43" i="14"/>
  <c r="BR24" i="2"/>
  <c r="BR29" i="2"/>
  <c r="BR13" i="2"/>
  <c r="BR22" i="2"/>
  <c r="BR19" i="2"/>
  <c r="BR28" i="2"/>
  <c r="BR25" i="2"/>
  <c r="BR34" i="2"/>
  <c r="BR18" i="2"/>
  <c r="BR40" i="2"/>
  <c r="BR21" i="2"/>
  <c r="AB41" i="14"/>
  <c r="AB40" i="14"/>
  <c r="BR27" i="2"/>
  <c r="BR17" i="2"/>
  <c r="BR39" i="2"/>
  <c r="BR23" i="2"/>
  <c r="BR14" i="2"/>
  <c r="CA34" i="2"/>
  <c r="CA40" i="2"/>
  <c r="CA18" i="2"/>
  <c r="Q42" i="14"/>
  <c r="AB42" i="14"/>
  <c r="Q60" i="14"/>
  <c r="AB60" i="14"/>
  <c r="CA28" i="2"/>
  <c r="CA24" i="2"/>
  <c r="CA32" i="2"/>
  <c r="CA38" i="2"/>
  <c r="CA20" i="2"/>
  <c r="CA33" i="2"/>
  <c r="CA37" i="2"/>
  <c r="CA14" i="2"/>
  <c r="CA31" i="2"/>
  <c r="CA16" i="2"/>
  <c r="CA30" i="2"/>
  <c r="CA15" i="2"/>
  <c r="CA36" i="2"/>
  <c r="CA26" i="2"/>
  <c r="CA35" i="2"/>
  <c r="CA29" i="2"/>
  <c r="CA22" i="2"/>
  <c r="CA19" i="2"/>
  <c r="CA27" i="2"/>
  <c r="CA17" i="2"/>
  <c r="CA39" i="2"/>
  <c r="CA23" i="2"/>
  <c r="CA13" i="2"/>
  <c r="BU24" i="28"/>
  <c r="BU13" i="28"/>
  <c r="L44" i="14"/>
  <c r="BU26" i="28"/>
  <c r="BU27" i="28"/>
  <c r="BU36" i="28"/>
  <c r="BU32" i="28"/>
  <c r="BU29" i="28"/>
  <c r="BU16" i="28"/>
  <c r="BT24" i="28"/>
  <c r="BT24" i="27"/>
  <c r="BT37" i="27"/>
  <c r="BT37" i="28"/>
  <c r="BV37" i="28" s="1"/>
  <c r="BT30" i="27"/>
  <c r="BT30" i="28"/>
  <c r="BV30" i="28" s="1"/>
  <c r="BT26" i="28"/>
  <c r="BT26" i="27"/>
  <c r="BT36" i="27"/>
  <c r="BT36" i="28"/>
  <c r="BT20" i="27"/>
  <c r="BT20" i="28"/>
  <c r="BV20" i="28" s="1"/>
  <c r="BT18" i="27"/>
  <c r="BT18" i="28"/>
  <c r="BV18" i="28" s="1"/>
  <c r="BT40" i="28"/>
  <c r="BV40" i="28" s="1"/>
  <c r="BT40" i="27"/>
  <c r="BT29" i="27"/>
  <c r="BT29" i="28"/>
  <c r="BT22" i="28"/>
  <c r="BV22" i="28" s="1"/>
  <c r="BT22" i="27"/>
  <c r="BT35" i="28"/>
  <c r="BV35" i="28" s="1"/>
  <c r="BT35" i="27"/>
  <c r="BT19" i="28"/>
  <c r="BV19" i="28" s="1"/>
  <c r="BT19" i="27"/>
  <c r="BT39" i="28"/>
  <c r="BV39" i="28" s="1"/>
  <c r="BT39" i="27"/>
  <c r="BT23" i="28"/>
  <c r="BV23" i="28" s="1"/>
  <c r="BT23" i="27"/>
  <c r="BT32" i="28"/>
  <c r="BT32" i="27"/>
  <c r="BT16" i="28"/>
  <c r="BT16" i="27"/>
  <c r="BT34" i="27"/>
  <c r="BT34" i="28"/>
  <c r="BV34" i="28" s="1"/>
  <c r="BT13" i="27"/>
  <c r="BT13" i="28"/>
  <c r="BT38" i="27"/>
  <c r="BT38" i="28"/>
  <c r="BV38" i="28" s="1"/>
  <c r="BT28" i="27"/>
  <c r="BT28" i="28"/>
  <c r="BV28" i="28" s="1"/>
  <c r="BT14" i="27"/>
  <c r="BT14" i="28"/>
  <c r="BV14" i="28" s="1"/>
  <c r="BT25" i="27"/>
  <c r="BT25" i="28"/>
  <c r="BV25" i="28" s="1"/>
  <c r="BT21" i="27"/>
  <c r="BT21" i="28"/>
  <c r="BV21" i="28" s="1"/>
  <c r="BT31" i="28"/>
  <c r="BV31" i="28" s="1"/>
  <c r="BT31" i="27"/>
  <c r="BT15" i="28"/>
  <c r="BV15" i="28" s="1"/>
  <c r="BT15" i="27"/>
  <c r="BT27" i="27"/>
  <c r="BT27" i="28"/>
  <c r="BT17" i="27"/>
  <c r="BT17" i="28"/>
  <c r="BV17" i="28" s="1"/>
  <c r="BT33" i="27"/>
  <c r="BT33" i="28"/>
  <c r="BV33" i="28" s="1"/>
  <c r="L49" i="14"/>
  <c r="L51" i="14"/>
  <c r="L45" i="14"/>
  <c r="L48" i="14"/>
  <c r="L50" i="14"/>
  <c r="L53" i="14"/>
  <c r="L47" i="14"/>
  <c r="L54" i="14"/>
  <c r="L52" i="14"/>
  <c r="E12" i="14"/>
  <c r="F45" i="14"/>
  <c r="F44" i="14"/>
  <c r="F40" i="14"/>
  <c r="Q40" i="14"/>
  <c r="F47" i="14"/>
  <c r="F49" i="14"/>
  <c r="F48" i="14"/>
  <c r="F43" i="14"/>
  <c r="Q43" i="14"/>
  <c r="F41" i="14"/>
  <c r="Q41" i="14"/>
  <c r="F50" i="14"/>
  <c r="F53" i="14"/>
  <c r="F51" i="14"/>
  <c r="F54" i="14"/>
  <c r="L8" i="1"/>
  <c r="B25" i="76"/>
  <c r="M60" i="14"/>
  <c r="O60" i="14"/>
  <c r="BO22" i="27"/>
  <c r="BO13" i="28"/>
  <c r="BO39" i="27"/>
  <c r="G18" i="14"/>
  <c r="H18" i="14" s="1"/>
  <c r="W20" i="14"/>
  <c r="BO39" i="2"/>
  <c r="W13" i="14"/>
  <c r="W18" i="14"/>
  <c r="BO47" i="2"/>
  <c r="E46" i="14"/>
  <c r="L46" i="14" s="1"/>
  <c r="BO29" i="28"/>
  <c r="BO17" i="28"/>
  <c r="BO20" i="27"/>
  <c r="BO36" i="27"/>
  <c r="BO17" i="27"/>
  <c r="BO18" i="27"/>
  <c r="BO21" i="27"/>
  <c r="BO34" i="27"/>
  <c r="BO35" i="27"/>
  <c r="BO14" i="27"/>
  <c r="BO32" i="27"/>
  <c r="BO27" i="27"/>
  <c r="BO13" i="27"/>
  <c r="BO25" i="27"/>
  <c r="BO15" i="27"/>
  <c r="BO24" i="27"/>
  <c r="G26" i="14"/>
  <c r="H26" i="14" s="1"/>
  <c r="BO38" i="27"/>
  <c r="BO40" i="27"/>
  <c r="W19" i="14"/>
  <c r="W21" i="14"/>
  <c r="W15" i="14"/>
  <c r="W16" i="14"/>
  <c r="W29" i="14"/>
  <c r="W31" i="14"/>
  <c r="W39" i="14"/>
  <c r="W37" i="14"/>
  <c r="W27" i="14"/>
  <c r="W25" i="14"/>
  <c r="W30" i="14"/>
  <c r="W35" i="14"/>
  <c r="W22" i="14"/>
  <c r="W33" i="14"/>
  <c r="W36" i="14"/>
  <c r="W26" i="14"/>
  <c r="I21" i="14"/>
  <c r="J21" i="14" s="1"/>
  <c r="M7" i="1"/>
  <c r="L7" i="1"/>
  <c r="W40" i="14"/>
  <c r="G39" i="14"/>
  <c r="H39" i="14" s="1"/>
  <c r="W41" i="14"/>
  <c r="G31" i="14"/>
  <c r="H31" i="14" s="1"/>
  <c r="G37" i="14"/>
  <c r="H37" i="14" s="1"/>
  <c r="M8" i="1"/>
  <c r="M6" i="1"/>
  <c r="G21" i="14"/>
  <c r="H21" i="14" s="1"/>
  <c r="G34" i="14"/>
  <c r="H34" i="14" s="1"/>
  <c r="G13" i="14"/>
  <c r="H13" i="14" s="1"/>
  <c r="G15" i="14"/>
  <c r="H15" i="14" s="1"/>
  <c r="G23" i="14"/>
  <c r="H23" i="14" s="1"/>
  <c r="W38" i="14"/>
  <c r="W32" i="14"/>
  <c r="W24" i="14"/>
  <c r="W23" i="14"/>
  <c r="W34" i="14"/>
  <c r="W28" i="14"/>
  <c r="L6" i="1"/>
  <c r="W14" i="14"/>
  <c r="G19" i="14"/>
  <c r="H19" i="14" s="1"/>
  <c r="G35" i="14"/>
  <c r="H35" i="14" s="1"/>
  <c r="G38" i="14"/>
  <c r="H38" i="14" s="1"/>
  <c r="T62" i="14"/>
  <c r="G12" i="14"/>
  <c r="I16" i="14"/>
  <c r="J16" i="14" s="1"/>
  <c r="G14" i="14"/>
  <c r="H14" i="14" s="1"/>
  <c r="G16" i="14"/>
  <c r="H16" i="14" s="1"/>
  <c r="G17" i="14"/>
  <c r="H17" i="14" s="1"/>
  <c r="G20" i="14"/>
  <c r="H20" i="14" s="1"/>
  <c r="G25" i="14"/>
  <c r="H25" i="14" s="1"/>
  <c r="G33" i="14"/>
  <c r="H33" i="14" s="1"/>
  <c r="I19" i="14"/>
  <c r="J19" i="14" s="1"/>
  <c r="I22" i="14"/>
  <c r="J22" i="14" s="1"/>
  <c r="I34" i="14"/>
  <c r="J34" i="14" s="1"/>
  <c r="AB46" i="14" l="1"/>
  <c r="Q48" i="14"/>
  <c r="AB48" i="14"/>
  <c r="Q52" i="14"/>
  <c r="AB52" i="14"/>
  <c r="Q47" i="14"/>
  <c r="AB47" i="14"/>
  <c r="Q45" i="14"/>
  <c r="AB45" i="14"/>
  <c r="Q44" i="14"/>
  <c r="AB44" i="14"/>
  <c r="Q53" i="14"/>
  <c r="AB53" i="14"/>
  <c r="Q51" i="14"/>
  <c r="AB51" i="14"/>
  <c r="Q54" i="14"/>
  <c r="AB54" i="14"/>
  <c r="Q50" i="14"/>
  <c r="AB50" i="14"/>
  <c r="Q49" i="14"/>
  <c r="AB49" i="14"/>
  <c r="BV13" i="28"/>
  <c r="BV24" i="28"/>
  <c r="BV27" i="28"/>
  <c r="BV32" i="28"/>
  <c r="BV16" i="28"/>
  <c r="BV36" i="28"/>
  <c r="BV26" i="28"/>
  <c r="BV29" i="28"/>
  <c r="CD3" i="2"/>
  <c r="CD3" i="27"/>
  <c r="CD3" i="28"/>
  <c r="F46" i="14"/>
  <c r="Q46" i="14"/>
  <c r="N8" i="1"/>
  <c r="BO16" i="27"/>
  <c r="I27" i="14"/>
  <c r="J27" i="14" s="1"/>
  <c r="I28" i="14"/>
  <c r="J28" i="14" s="1"/>
  <c r="BO22" i="28"/>
  <c r="BO35" i="28"/>
  <c r="BO28" i="28"/>
  <c r="BO33" i="27"/>
  <c r="BO19" i="28"/>
  <c r="I31" i="14"/>
  <c r="J31" i="14" s="1"/>
  <c r="I18" i="14"/>
  <c r="J18" i="14" s="1"/>
  <c r="BO40" i="28"/>
  <c r="BO27" i="28"/>
  <c r="I26" i="14"/>
  <c r="J26" i="14" s="1"/>
  <c r="I35" i="14"/>
  <c r="J35" i="14" s="1"/>
  <c r="I37" i="14"/>
  <c r="J37" i="14" s="1"/>
  <c r="BO36" i="28"/>
  <c r="BO38" i="28"/>
  <c r="BO39" i="28"/>
  <c r="I36" i="14"/>
  <c r="J36" i="14" s="1"/>
  <c r="I13" i="14"/>
  <c r="J13" i="14" s="1"/>
  <c r="BO37" i="28"/>
  <c r="BO14" i="28"/>
  <c r="I32" i="14"/>
  <c r="J32" i="14" s="1"/>
  <c r="BO26" i="28"/>
  <c r="BO20" i="28"/>
  <c r="I38" i="14"/>
  <c r="J38" i="14" s="1"/>
  <c r="BO25" i="28"/>
  <c r="I12" i="14"/>
  <c r="I20" i="14"/>
  <c r="J20" i="14" s="1"/>
  <c r="I17" i="14"/>
  <c r="J17" i="14" s="1"/>
  <c r="I33" i="14"/>
  <c r="J33" i="14" s="1"/>
  <c r="I25" i="14"/>
  <c r="J25" i="14" s="1"/>
  <c r="I30" i="14"/>
  <c r="J30" i="14" s="1"/>
  <c r="I39" i="14"/>
  <c r="J39" i="14" s="1"/>
  <c r="BO34" i="28"/>
  <c r="BO31" i="28"/>
  <c r="BO32" i="28"/>
  <c r="BO23" i="28"/>
  <c r="BO33" i="28"/>
  <c r="BO21" i="28"/>
  <c r="I23" i="14"/>
  <c r="J23" i="14" s="1"/>
  <c r="BO15" i="28"/>
  <c r="BO30" i="28"/>
  <c r="I24" i="14"/>
  <c r="J24" i="14" s="1"/>
  <c r="I14" i="14"/>
  <c r="J14" i="14" s="1"/>
  <c r="BO18" i="28"/>
  <c r="I29" i="14"/>
  <c r="J29" i="14" s="1"/>
  <c r="BO24" i="28"/>
  <c r="G28" i="14"/>
  <c r="H28" i="14" s="1"/>
  <c r="G24" i="14"/>
  <c r="H24" i="14" s="1"/>
  <c r="G29" i="14"/>
  <c r="H29" i="14" s="1"/>
  <c r="BO29" i="27"/>
  <c r="G32" i="14"/>
  <c r="H32" i="14" s="1"/>
  <c r="BO37" i="27"/>
  <c r="G36" i="14"/>
  <c r="H36" i="14" s="1"/>
  <c r="BO31" i="27"/>
  <c r="G22" i="14"/>
  <c r="H22" i="14" s="1"/>
  <c r="BO23" i="27"/>
  <c r="G30" i="14"/>
  <c r="H30" i="14" s="1"/>
  <c r="BO30" i="27"/>
  <c r="G27" i="14"/>
  <c r="H27" i="14" s="1"/>
  <c r="BO28" i="27"/>
  <c r="BO26" i="27"/>
  <c r="E13" i="14"/>
  <c r="E16" i="14"/>
  <c r="L16" i="14" s="1"/>
  <c r="BO17" i="2"/>
  <c r="BO32" i="2"/>
  <c r="E17" i="14"/>
  <c r="BO40" i="2"/>
  <c r="E39" i="14"/>
  <c r="E37" i="14"/>
  <c r="BO16" i="28"/>
  <c r="BO38" i="2"/>
  <c r="BO19" i="27"/>
  <c r="I15" i="14"/>
  <c r="J15" i="14" s="1"/>
  <c r="E35" i="14"/>
  <c r="E31" i="14"/>
  <c r="L31" i="14" s="1"/>
  <c r="E24" i="14"/>
  <c r="E20" i="14"/>
  <c r="BO18" i="2"/>
  <c r="E33" i="14"/>
  <c r="E15" i="14"/>
  <c r="E38" i="14"/>
  <c r="BO34" i="2"/>
  <c r="E34" i="14"/>
  <c r="L34" i="14" s="1"/>
  <c r="E30" i="14"/>
  <c r="BO31" i="2"/>
  <c r="E26" i="14"/>
  <c r="E19" i="14"/>
  <c r="L19" i="14" s="1"/>
  <c r="BO20" i="2"/>
  <c r="BO24" i="2"/>
  <c r="BO25" i="2"/>
  <c r="BO13" i="2"/>
  <c r="BO29" i="2"/>
  <c r="BO26" i="2"/>
  <c r="E23" i="14"/>
  <c r="E22" i="14"/>
  <c r="L22" i="14" s="1"/>
  <c r="BO16" i="2"/>
  <c r="BO14" i="2"/>
  <c r="E32" i="14"/>
  <c r="BO33" i="2"/>
  <c r="BO28" i="2"/>
  <c r="BO27" i="2"/>
  <c r="BO23" i="2"/>
  <c r="BO21" i="2"/>
  <c r="BO19" i="2"/>
  <c r="BO37" i="2"/>
  <c r="BO36" i="2"/>
  <c r="BO35" i="2"/>
  <c r="BO30" i="2"/>
  <c r="E29" i="14"/>
  <c r="E28" i="14"/>
  <c r="E27" i="14"/>
  <c r="BO22" i="2"/>
  <c r="E36" i="14"/>
  <c r="E21" i="14"/>
  <c r="L21" i="14" s="1"/>
  <c r="E18" i="14"/>
  <c r="E25" i="14"/>
  <c r="BO15" i="2"/>
  <c r="E14" i="14"/>
  <c r="H12" i="14"/>
  <c r="N6" i="1"/>
  <c r="N7" i="1"/>
  <c r="W42" i="14"/>
  <c r="O52" i="14"/>
  <c r="O51" i="14"/>
  <c r="O40" i="14"/>
  <c r="O53" i="14"/>
  <c r="O54" i="14"/>
  <c r="O41" i="14"/>
  <c r="AB22" i="14" l="1"/>
  <c r="AB19" i="14"/>
  <c r="AB34" i="14"/>
  <c r="AB31" i="14"/>
  <c r="AB16" i="14"/>
  <c r="AB21" i="14"/>
  <c r="L33" i="14"/>
  <c r="L20" i="14"/>
  <c r="L37" i="14"/>
  <c r="L36" i="14"/>
  <c r="L17" i="14"/>
  <c r="L13" i="14"/>
  <c r="L30" i="14"/>
  <c r="L26" i="14"/>
  <c r="L38" i="14"/>
  <c r="L25" i="14"/>
  <c r="L23" i="14"/>
  <c r="L24" i="14"/>
  <c r="J12" i="14"/>
  <c r="I75" i="14"/>
  <c r="J75" i="14" s="1"/>
  <c r="I76" i="14"/>
  <c r="J76" i="14" s="1"/>
  <c r="E75" i="14"/>
  <c r="F75" i="14" s="1"/>
  <c r="E76" i="14"/>
  <c r="F76" i="14" s="1"/>
  <c r="G75" i="14"/>
  <c r="H75" i="14" s="1"/>
  <c r="G76" i="14"/>
  <c r="H76" i="14" s="1"/>
  <c r="L39" i="14"/>
  <c r="L18" i="14"/>
  <c r="L15" i="14"/>
  <c r="L14" i="14"/>
  <c r="L28" i="14"/>
  <c r="L27" i="14"/>
  <c r="L29" i="14"/>
  <c r="L32" i="14"/>
  <c r="L35" i="14"/>
  <c r="L12" i="14"/>
  <c r="CF5" i="2"/>
  <c r="CD5" i="27"/>
  <c r="CD5" i="2"/>
  <c r="CD4" i="2"/>
  <c r="CD4" i="28"/>
  <c r="CD5" i="28"/>
  <c r="CD4" i="27"/>
  <c r="F14" i="14"/>
  <c r="F18" i="14"/>
  <c r="F36" i="14"/>
  <c r="F27" i="14"/>
  <c r="F23" i="14"/>
  <c r="F19" i="14"/>
  <c r="F30" i="14"/>
  <c r="F34" i="14"/>
  <c r="F33" i="14"/>
  <c r="F20" i="14"/>
  <c r="F31" i="14"/>
  <c r="F37" i="14"/>
  <c r="F17" i="14"/>
  <c r="F13" i="14"/>
  <c r="F25" i="14"/>
  <c r="F21" i="14"/>
  <c r="Q21" i="14"/>
  <c r="F28" i="14"/>
  <c r="F29" i="14"/>
  <c r="F32" i="14"/>
  <c r="F22" i="14"/>
  <c r="Q22" i="14"/>
  <c r="F26" i="14"/>
  <c r="F38" i="14"/>
  <c r="F15" i="14"/>
  <c r="F24" i="14"/>
  <c r="F35" i="14"/>
  <c r="F39" i="14"/>
  <c r="F16" i="14"/>
  <c r="F12" i="14"/>
  <c r="CH5" i="27"/>
  <c r="CH5" i="2"/>
  <c r="CH5" i="28"/>
  <c r="M31" i="14"/>
  <c r="CJ5" i="28"/>
  <c r="CL5" i="28"/>
  <c r="CF5" i="28"/>
  <c r="CJ5" i="27"/>
  <c r="CL5" i="27"/>
  <c r="CF5" i="27"/>
  <c r="V22" i="14"/>
  <c r="V20" i="14"/>
  <c r="V33" i="14"/>
  <c r="V26" i="14"/>
  <c r="V23" i="14"/>
  <c r="V32" i="14"/>
  <c r="V21" i="14"/>
  <c r="CJ5" i="2"/>
  <c r="CL5" i="2"/>
  <c r="V36" i="14"/>
  <c r="V42" i="14"/>
  <c r="O42" i="14"/>
  <c r="V45" i="14"/>
  <c r="O45" i="14"/>
  <c r="V49" i="14"/>
  <c r="O49" i="14"/>
  <c r="V43" i="14"/>
  <c r="O43" i="14"/>
  <c r="V47" i="14"/>
  <c r="O47" i="14"/>
  <c r="V46" i="14"/>
  <c r="O46" i="14"/>
  <c r="V37" i="14"/>
  <c r="V48" i="14"/>
  <c r="O48" i="14"/>
  <c r="V16" i="14"/>
  <c r="V44" i="14"/>
  <c r="O44" i="14"/>
  <c r="V50" i="14"/>
  <c r="O50" i="14"/>
  <c r="V31" i="14"/>
  <c r="M52" i="14"/>
  <c r="V52" i="14"/>
  <c r="M53" i="14"/>
  <c r="V53" i="14"/>
  <c r="V60" i="14"/>
  <c r="M54" i="14"/>
  <c r="V54" i="14"/>
  <c r="V39" i="14"/>
  <c r="M40" i="14"/>
  <c r="V40" i="14"/>
  <c r="W43" i="14"/>
  <c r="U52" i="14"/>
  <c r="M42" i="14"/>
  <c r="U42" i="14"/>
  <c r="M41" i="14"/>
  <c r="V41" i="14"/>
  <c r="U41" i="14"/>
  <c r="M45" i="14"/>
  <c r="U45" i="14"/>
  <c r="M44" i="14"/>
  <c r="U44" i="14"/>
  <c r="M43" i="14"/>
  <c r="U43" i="14"/>
  <c r="M51" i="14"/>
  <c r="U51" i="14"/>
  <c r="V51" i="14"/>
  <c r="M50" i="14"/>
  <c r="U50" i="14"/>
  <c r="M46" i="14"/>
  <c r="U46" i="14"/>
  <c r="M48" i="14"/>
  <c r="U48" i="14"/>
  <c r="M49" i="14"/>
  <c r="U49" i="14"/>
  <c r="M47" i="14"/>
  <c r="U47" i="14"/>
  <c r="U60" i="14"/>
  <c r="U54" i="14"/>
  <c r="U53" i="14"/>
  <c r="U40" i="14"/>
  <c r="AB12" i="14" l="1"/>
  <c r="AB27" i="14"/>
  <c r="AB18" i="14"/>
  <c r="AB38" i="14"/>
  <c r="AB17" i="14"/>
  <c r="AB35" i="14"/>
  <c r="AB28" i="14"/>
  <c r="AB39" i="14"/>
  <c r="AB24" i="14"/>
  <c r="AB14" i="14"/>
  <c r="AB30" i="14"/>
  <c r="AB37" i="14"/>
  <c r="AB29" i="14"/>
  <c r="AB15" i="14"/>
  <c r="AB25" i="14"/>
  <c r="AB13" i="14"/>
  <c r="Q26" i="14"/>
  <c r="AB26" i="14"/>
  <c r="Q36" i="14"/>
  <c r="AB36" i="14"/>
  <c r="Q32" i="14"/>
  <c r="AB32" i="14"/>
  <c r="Q23" i="14"/>
  <c r="AB23" i="14"/>
  <c r="Q33" i="14"/>
  <c r="AB33" i="14"/>
  <c r="Q20" i="14"/>
  <c r="AB20" i="14"/>
  <c r="CD6" i="27"/>
  <c r="CD6" i="28"/>
  <c r="CD6" i="2"/>
  <c r="L76" i="14"/>
  <c r="M76" i="14" s="1"/>
  <c r="L75" i="14"/>
  <c r="M75" i="14" s="1"/>
  <c r="M12" i="14"/>
  <c r="Q12" i="14"/>
  <c r="B39" i="76"/>
  <c r="B38" i="76"/>
  <c r="M16" i="14"/>
  <c r="Q16" i="14"/>
  <c r="O39" i="14"/>
  <c r="Q39" i="14"/>
  <c r="M35" i="14"/>
  <c r="Q35" i="14"/>
  <c r="U24" i="14"/>
  <c r="Q24" i="14"/>
  <c r="O15" i="14"/>
  <c r="Q15" i="14"/>
  <c r="M38" i="14"/>
  <c r="Q38" i="14"/>
  <c r="U29" i="14"/>
  <c r="Q29" i="14"/>
  <c r="U28" i="14"/>
  <c r="Q28" i="14"/>
  <c r="O25" i="14"/>
  <c r="Q25" i="14"/>
  <c r="U13" i="14"/>
  <c r="Q13" i="14"/>
  <c r="M17" i="14"/>
  <c r="Q17" i="14"/>
  <c r="U37" i="14"/>
  <c r="Q37" i="14"/>
  <c r="U31" i="14"/>
  <c r="Q31" i="14"/>
  <c r="O34" i="14"/>
  <c r="Q34" i="14"/>
  <c r="M30" i="14"/>
  <c r="Q30" i="14"/>
  <c r="O19" i="14"/>
  <c r="Q19" i="14"/>
  <c r="U27" i="14"/>
  <c r="Q27" i="14"/>
  <c r="O18" i="14"/>
  <c r="Q18" i="14"/>
  <c r="O14" i="14"/>
  <c r="Q14" i="14"/>
  <c r="CN5" i="27"/>
  <c r="CM5" i="27" s="1"/>
  <c r="CN5" i="28"/>
  <c r="CG5" i="28" s="1"/>
  <c r="CN5" i="2"/>
  <c r="CM5" i="2" s="1"/>
  <c r="O12" i="14"/>
  <c r="M39" i="14"/>
  <c r="M13" i="14"/>
  <c r="O13" i="14"/>
  <c r="V13" i="14"/>
  <c r="O31" i="14"/>
  <c r="U12" i="14"/>
  <c r="V12" i="14"/>
  <c r="O24" i="14"/>
  <c r="O16" i="14"/>
  <c r="O37" i="14"/>
  <c r="O17" i="14"/>
  <c r="M24" i="14"/>
  <c r="U39" i="14"/>
  <c r="V35" i="14"/>
  <c r="V24" i="14"/>
  <c r="U16" i="14"/>
  <c r="M37" i="14"/>
  <c r="U22" i="14"/>
  <c r="U23" i="14"/>
  <c r="U33" i="14"/>
  <c r="V27" i="14"/>
  <c r="O36" i="14"/>
  <c r="O35" i="14"/>
  <c r="U35" i="14"/>
  <c r="M22" i="14"/>
  <c r="O22" i="14"/>
  <c r="U17" i="14"/>
  <c r="V17" i="14"/>
  <c r="M36" i="14"/>
  <c r="M27" i="14"/>
  <c r="O33" i="14"/>
  <c r="O27" i="14"/>
  <c r="U19" i="14"/>
  <c r="O29" i="14"/>
  <c r="M29" i="14"/>
  <c r="M20" i="14"/>
  <c r="U38" i="14"/>
  <c r="O20" i="14"/>
  <c r="U20" i="14"/>
  <c r="V15" i="14"/>
  <c r="M15" i="14"/>
  <c r="U34" i="14"/>
  <c r="O38" i="14"/>
  <c r="M32" i="14"/>
  <c r="O23" i="14"/>
  <c r="U15" i="14"/>
  <c r="M33" i="14"/>
  <c r="M23" i="14"/>
  <c r="V38" i="14"/>
  <c r="O32" i="14"/>
  <c r="M26" i="14"/>
  <c r="O26" i="14"/>
  <c r="U26" i="14"/>
  <c r="V30" i="14"/>
  <c r="V29" i="14"/>
  <c r="V34" i="14"/>
  <c r="M19" i="14"/>
  <c r="U18" i="14"/>
  <c r="U32" i="14"/>
  <c r="M34" i="14"/>
  <c r="V19" i="14"/>
  <c r="M14" i="14"/>
  <c r="U30" i="14"/>
  <c r="O30" i="14"/>
  <c r="O21" i="14"/>
  <c r="U21" i="14"/>
  <c r="M25" i="14"/>
  <c r="V25" i="14"/>
  <c r="M21" i="14"/>
  <c r="O28" i="14"/>
  <c r="U14" i="14"/>
  <c r="U25" i="14"/>
  <c r="M18" i="14"/>
  <c r="V18" i="14"/>
  <c r="V28" i="14"/>
  <c r="M28" i="14"/>
  <c r="U36" i="14"/>
  <c r="V14" i="14"/>
  <c r="W44" i="14"/>
  <c r="CI5" i="2" l="1"/>
  <c r="CK5" i="28"/>
  <c r="CI5" i="27"/>
  <c r="CM5" i="28"/>
  <c r="CI5" i="28"/>
  <c r="CG5" i="2"/>
  <c r="CG5" i="27"/>
  <c r="CO5" i="27" s="1"/>
  <c r="CK5" i="27"/>
  <c r="CK5" i="2"/>
  <c r="V62" i="14"/>
  <c r="U62" i="14"/>
  <c r="W45" i="14"/>
  <c r="CO5" i="28" l="1"/>
  <c r="CO5" i="2"/>
  <c r="W46" i="14"/>
  <c r="W47" i="14" l="1"/>
  <c r="W48" i="14" l="1"/>
  <c r="W50" i="14" l="1"/>
  <c r="W49" i="14"/>
  <c r="W51" i="14" l="1"/>
  <c r="W52" i="14" l="1"/>
  <c r="W53" i="14" l="1"/>
  <c r="W61" i="14" l="1"/>
  <c r="W54" i="14"/>
  <c r="W60" i="14" l="1"/>
  <c r="W62" i="14" l="1"/>
  <c r="V63" i="14"/>
  <c r="V64" i="14" l="1"/>
  <c r="V65" i="14" s="1"/>
</calcChain>
</file>

<file path=xl/sharedStrings.xml><?xml version="1.0" encoding="utf-8"?>
<sst xmlns="http://schemas.openxmlformats.org/spreadsheetml/2006/main" count="660" uniqueCount="360">
  <si>
    <t>N°</t>
  </si>
  <si>
    <t>M</t>
  </si>
  <si>
    <t>SEXO</t>
  </si>
  <si>
    <t>ESTADO</t>
  </si>
  <si>
    <t>EDAD</t>
  </si>
  <si>
    <t>F</t>
  </si>
  <si>
    <t>EFECTIVO</t>
  </si>
  <si>
    <t>RETIRADO</t>
  </si>
  <si>
    <t>MATEMATICA</t>
  </si>
  <si>
    <t>TOTAL</t>
  </si>
  <si>
    <t>Nº</t>
  </si>
  <si>
    <t>AP_P</t>
  </si>
  <si>
    <t>INSCRITOS</t>
  </si>
  <si>
    <t>RETIRADOS</t>
  </si>
  <si>
    <t>EFECTIVOS</t>
  </si>
  <si>
    <t>MASCULINO</t>
  </si>
  <si>
    <t>FEMENINO</t>
  </si>
  <si>
    <t>OBSERVACION</t>
  </si>
  <si>
    <t>APROBADOS</t>
  </si>
  <si>
    <t>REPROBADOS</t>
  </si>
  <si>
    <t>%</t>
  </si>
  <si>
    <t>ASISTENCIA</t>
  </si>
  <si>
    <t>A</t>
  </si>
  <si>
    <t>PORCENTAJE</t>
  </si>
  <si>
    <t>CANTIDAD</t>
  </si>
  <si>
    <t>CAMPO:</t>
  </si>
  <si>
    <t>MAESTRO/A:</t>
  </si>
  <si>
    <t>ÁREA:</t>
  </si>
  <si>
    <t>NUMERAL</t>
  </si>
  <si>
    <t>LITERAL</t>
  </si>
  <si>
    <t>UNO</t>
  </si>
  <si>
    <t>DOS</t>
  </si>
  <si>
    <t>TRES</t>
  </si>
  <si>
    <t>CUATRO</t>
  </si>
  <si>
    <t>CINCO</t>
  </si>
  <si>
    <t>SEIS</t>
  </si>
  <si>
    <t>SIETE</t>
  </si>
  <si>
    <t>OCHO</t>
  </si>
  <si>
    <t>NUEVE</t>
  </si>
  <si>
    <t>DIEZ</t>
  </si>
  <si>
    <t>ONCE</t>
  </si>
  <si>
    <t>DOCE</t>
  </si>
  <si>
    <t>TRECE</t>
  </si>
  <si>
    <t>CATORCE</t>
  </si>
  <si>
    <t>QUINCE</t>
  </si>
  <si>
    <t>DIECISÉIS</t>
  </si>
  <si>
    <t>DIECISIETE</t>
  </si>
  <si>
    <t>DIECIOCHO</t>
  </si>
  <si>
    <t>DIECINUEVE</t>
  </si>
  <si>
    <t>VEINTE</t>
  </si>
  <si>
    <t>VEINTIUNO</t>
  </si>
  <si>
    <t>VEINTIDÓS</t>
  </si>
  <si>
    <t>VEINTITRES</t>
  </si>
  <si>
    <t>VEINTICUATRO</t>
  </si>
  <si>
    <t>VEINTICINCO</t>
  </si>
  <si>
    <t>VEINTISÉIS</t>
  </si>
  <si>
    <t>VEINTISIETE</t>
  </si>
  <si>
    <t>VEINTIOCHO</t>
  </si>
  <si>
    <t>VEINTINUEVE</t>
  </si>
  <si>
    <t>TREINTA</t>
  </si>
  <si>
    <t>TREINTA Y UNO</t>
  </si>
  <si>
    <t>TREINTA Y DOS</t>
  </si>
  <si>
    <t>TREINTA Y TRES</t>
  </si>
  <si>
    <t>TREINTA Y CUATRO</t>
  </si>
  <si>
    <t>TREINTA Y CINCO</t>
  </si>
  <si>
    <t>TREINTA Y SEIS</t>
  </si>
  <si>
    <t>TREINTA Y SIETE</t>
  </si>
  <si>
    <t>TREINTA Y OCHO</t>
  </si>
  <si>
    <t>TREINTA Y NUEVE</t>
  </si>
  <si>
    <t>CUARENTA</t>
  </si>
  <si>
    <t>CUARENTA Y UNO</t>
  </si>
  <si>
    <t>CUARENTA Y DOS</t>
  </si>
  <si>
    <t>CUARENTA Y TRES</t>
  </si>
  <si>
    <t>CUARENTA Y CUATRO</t>
  </si>
  <si>
    <t>CUARENTA Y CINCO</t>
  </si>
  <si>
    <t>CUARENTA Y SEIS</t>
  </si>
  <si>
    <t>CUARENTA Y SIETE</t>
  </si>
  <si>
    <t>CUARENTA Y OCHO</t>
  </si>
  <si>
    <t>CUARENTA Y NUEVE</t>
  </si>
  <si>
    <t>CINCUENTA</t>
  </si>
  <si>
    <t>CINCUENTA Y UNO</t>
  </si>
  <si>
    <t>CINCUENTA Y DOS</t>
  </si>
  <si>
    <t>CINCUENTA Y TRES</t>
  </si>
  <si>
    <t>CINCUENTA Y CUATRO</t>
  </si>
  <si>
    <t>CINCUENTA Y CINCO</t>
  </si>
  <si>
    <t>CINCUENTA Y SEIS</t>
  </si>
  <si>
    <t>CINCUENTA Y SIETE</t>
  </si>
  <si>
    <t>CINCUENTA Y OCHO</t>
  </si>
  <si>
    <t>CINCUENTA Y NUEVE</t>
  </si>
  <si>
    <t>SESENTA</t>
  </si>
  <si>
    <t>SESENTA Y UNO</t>
  </si>
  <si>
    <t>SESENTA Y DOS</t>
  </si>
  <si>
    <t>SESENTA Y TRES</t>
  </si>
  <si>
    <t>SESENTA Y CUATRO</t>
  </si>
  <si>
    <t>SESENTA Y CINCO</t>
  </si>
  <si>
    <t>SESENTA Y SEIS</t>
  </si>
  <si>
    <t>SESENTA Y SIETE</t>
  </si>
  <si>
    <t>SESENTA Y OCHO</t>
  </si>
  <si>
    <t>SESENTA Y NUEVE</t>
  </si>
  <si>
    <t>SETENTA</t>
  </si>
  <si>
    <t>SETENTA Y UNO</t>
  </si>
  <si>
    <t>SETENTA Y DOS</t>
  </si>
  <si>
    <t>SETENTA Y TRES</t>
  </si>
  <si>
    <t>SETENTA Y CUATRO</t>
  </si>
  <si>
    <t>SETENTA Y CINCO</t>
  </si>
  <si>
    <t>SETENTA Y SEIS</t>
  </si>
  <si>
    <t>SETENTA Y SIETE</t>
  </si>
  <si>
    <t>SETENTA Y OCHO</t>
  </si>
  <si>
    <t>SETENTA Y NUEVE</t>
  </si>
  <si>
    <t>OCHENTA</t>
  </si>
  <si>
    <t>OCHENTA Y UNO</t>
  </si>
  <si>
    <t>OCHENTA Y DOS</t>
  </si>
  <si>
    <t>OCHENTA Y TRES</t>
  </si>
  <si>
    <t>OCHENTA Y CUATRO</t>
  </si>
  <si>
    <t>OCHENTA Y CINCO</t>
  </si>
  <si>
    <t>OCHENTA Y SEIS</t>
  </si>
  <si>
    <t>OCHENTA Y SIETE</t>
  </si>
  <si>
    <t>OCHENTA Y OCHO</t>
  </si>
  <si>
    <t>OCHENTA Y NUEVE</t>
  </si>
  <si>
    <t>NOVENTA</t>
  </si>
  <si>
    <t>NOVENTA Y UNO</t>
  </si>
  <si>
    <t>NOVENTA Y DOS</t>
  </si>
  <si>
    <t>NOVENTA Y TRES</t>
  </si>
  <si>
    <t>NOVENTA Y CUATRO</t>
  </si>
  <si>
    <t>NOVENTA Y CINCO</t>
  </si>
  <si>
    <t>NOVENTA Y SEIS</t>
  </si>
  <si>
    <t>NOVENTA Y SIETE</t>
  </si>
  <si>
    <t>NOVENTA Y OCHO</t>
  </si>
  <si>
    <t>NOVENTA Y NUEVE</t>
  </si>
  <si>
    <t>CIEN</t>
  </si>
  <si>
    <t>PROMEDIO FINAL</t>
  </si>
  <si>
    <t>T</t>
  </si>
  <si>
    <t>TOTAL ASISTENCIAS</t>
  </si>
  <si>
    <t>COMUNICACIÓN Y LENGUAJES</t>
  </si>
  <si>
    <t>LENGUA EXTRANJERA</t>
  </si>
  <si>
    <t>CIENCIAS  SOCIALES</t>
  </si>
  <si>
    <t>ARTES PLASTICAS Y VISUALES</t>
  </si>
  <si>
    <t>EDUCACION MUSICAL</t>
  </si>
  <si>
    <t>VALORES, ESPIRITUALIDAD Y RELIGIONES</t>
  </si>
  <si>
    <t>VIDA TIERRA Y TERRITORIO</t>
  </si>
  <si>
    <t>CIENCIA, TECNOLOGIA Y PRODUCCION</t>
  </si>
  <si>
    <t>COMUNIDAD Y SOCIEDAD</t>
  </si>
  <si>
    <t>COSMOS Y PENSAMIENTO</t>
  </si>
  <si>
    <t xml:space="preserve">EDUCACION FISICA DEPORTES  </t>
  </si>
  <si>
    <t>BIOLOGIA - GEOGRAFIA</t>
  </si>
  <si>
    <t>FISICA - QUIMICA</t>
  </si>
  <si>
    <t>FILOSOFIAS Y PSICOLOGIA</t>
  </si>
  <si>
    <t>CÓDIGO SIE:</t>
  </si>
  <si>
    <t>UNIDAD EDUCATIVA:</t>
  </si>
  <si>
    <t>DISTRITO EDUCATIVO:</t>
  </si>
  <si>
    <t>AÑO DE ESCOLARIDAD:</t>
  </si>
  <si>
    <t>NIVEL:</t>
  </si>
  <si>
    <t>TURNO:</t>
  </si>
  <si>
    <t>GESTIÓN</t>
  </si>
  <si>
    <t>SANTA CRUZ - BOLIVIA</t>
  </si>
  <si>
    <t>MAESTRO /A:</t>
  </si>
  <si>
    <t>AÑO ESCOL</t>
  </si>
  <si>
    <t>CAMPO</t>
  </si>
  <si>
    <t>AREA</t>
  </si>
  <si>
    <t>PRIMERO "A"</t>
  </si>
  <si>
    <t>PRIMERO "B"</t>
  </si>
  <si>
    <t>PRIMERO "C"</t>
  </si>
  <si>
    <t>SEGUNDO "A"</t>
  </si>
  <si>
    <t>SEGUNDO "B"</t>
  </si>
  <si>
    <t>SEGUNDO "C"</t>
  </si>
  <si>
    <t>TERCERO "A"</t>
  </si>
  <si>
    <t>TERCERO "B"</t>
  </si>
  <si>
    <t>TERCERO "C"</t>
  </si>
  <si>
    <t>CUARTO "A"</t>
  </si>
  <si>
    <t>CUARTO "B"</t>
  </si>
  <si>
    <t>CUARTO "C"</t>
  </si>
  <si>
    <t>QUINTO "A"</t>
  </si>
  <si>
    <t>QUINTO "B"</t>
  </si>
  <si>
    <t>QUINTO "C"</t>
  </si>
  <si>
    <t>SEXTO "A"</t>
  </si>
  <si>
    <t>SEXTO "B"</t>
  </si>
  <si>
    <t>SEXTO "C"</t>
  </si>
  <si>
    <t>NO ASISTEN</t>
  </si>
  <si>
    <t>TOTAL ASISTENTES</t>
  </si>
  <si>
    <t>CUANTITATIVO</t>
  </si>
  <si>
    <t>CUALITATIVO</t>
  </si>
  <si>
    <t>ESTADISTICA ANUAL</t>
  </si>
  <si>
    <t>% de asistencia</t>
  </si>
  <si>
    <t>APROVECHAMIENTO</t>
  </si>
  <si>
    <t>EN DESARROLLO</t>
  </si>
  <si>
    <t>DESARROLLO OPTIMO</t>
  </si>
  <si>
    <t>PROMEDIO
DIMENSIÓN</t>
  </si>
  <si>
    <t>EVALUACIÓN CUANTITATIVA Y CUALITATIVA</t>
  </si>
  <si>
    <t>C  E  N  T  R  A  L  I  Z  A  D  O  R     A  N  U  A  L</t>
  </si>
  <si>
    <t>TOTAL ESTUDIANTES</t>
  </si>
  <si>
    <t>DESARROLLO ACEPTABLE</t>
  </si>
  <si>
    <t>NOTA FINAL</t>
  </si>
  <si>
    <t>RUDE</t>
  </si>
  <si>
    <t xml:space="preserve">CI </t>
  </si>
  <si>
    <t>DIRECCIÓN ACTUAL</t>
  </si>
  <si>
    <t xml:space="preserve">NOMBRE DE TUTOR </t>
  </si>
  <si>
    <t>PARENTESCO</t>
  </si>
  <si>
    <t>MASC</t>
  </si>
  <si>
    <t>FEM</t>
  </si>
  <si>
    <t>TOTAL
EFECTIVOS</t>
  </si>
  <si>
    <t>APELLIDOS Y NOMBRES</t>
  </si>
  <si>
    <t>FECHA NACIMIENTO</t>
  </si>
  <si>
    <t>LUGAR DE NACIMIENTO</t>
  </si>
  <si>
    <t xml:space="preserve">CUADRO DE EDADES </t>
  </si>
  <si>
    <t xml:space="preserve">TOTALES </t>
  </si>
  <si>
    <t xml:space="preserve">MASCULINO </t>
  </si>
  <si>
    <t>DATOS DE REGISTRO</t>
  </si>
  <si>
    <t>ESTADO DEL ESTUDIANTE</t>
  </si>
  <si>
    <t xml:space="preserve">INSCRITO </t>
  </si>
  <si>
    <t>RETIRO O ABANDONO</t>
  </si>
  <si>
    <t>CUADERNO PEDAGÓGICO</t>
  </si>
  <si>
    <t>CRITERIO</t>
  </si>
  <si>
    <t>DESCRIPCION</t>
  </si>
  <si>
    <t>VALORACION</t>
  </si>
  <si>
    <t>ED</t>
  </si>
  <si>
    <t>DA</t>
  </si>
  <si>
    <t>DO</t>
  </si>
  <si>
    <t>DP</t>
  </si>
  <si>
    <t>Hasta 50</t>
  </si>
  <si>
    <t>51 - 68</t>
  </si>
  <si>
    <t>69 - 84</t>
  </si>
  <si>
    <t>85 - 100</t>
  </si>
  <si>
    <t>En Desarrollo</t>
  </si>
  <si>
    <t>Desarrollo Aceptable</t>
  </si>
  <si>
    <t>Desarrollo Optimo</t>
  </si>
  <si>
    <t>Desarrollo Pleno</t>
  </si>
  <si>
    <t>FISICA</t>
  </si>
  <si>
    <t>QUIMICA</t>
  </si>
  <si>
    <t>PRIMER TRIMESTRE</t>
  </si>
  <si>
    <t>SEGUNDO TRIMESTRE</t>
  </si>
  <si>
    <t>TERCER TRIMESTRE</t>
  </si>
  <si>
    <t>ESTADISTICA POR TRIMESTRE</t>
  </si>
  <si>
    <t>P     R     I     M     E     R                T     R     I     M     E     S     T     R     E</t>
  </si>
  <si>
    <t>S     E     G     U     N     D     O                T     R     I     M     E     S     T     R     E</t>
  </si>
  <si>
    <t>T     E     R     C     E     R                T     R     I     M     E     S     T     R     E</t>
  </si>
  <si>
    <t>TELF. PADRE</t>
  </si>
  <si>
    <t>TELF. MADRE</t>
  </si>
  <si>
    <t>NOMBRE DEL PADRE</t>
  </si>
  <si>
    <t>NOMBRE DE LA MADRE</t>
  </si>
  <si>
    <t>TELF. TUTOR</t>
  </si>
  <si>
    <t>NOTA TRIMESTRAL - 100 PTS (REDONDEADO)</t>
  </si>
  <si>
    <t>NOTA TRIMESTRAL - 100 PTS (DECIMALES)</t>
  </si>
  <si>
    <t>elaborado por:Prof. Jhohan 73629829</t>
  </si>
  <si>
    <t>TDT</t>
  </si>
  <si>
    <t>DESARROLLO PLENO</t>
  </si>
  <si>
    <t>MOSTRAR</t>
  </si>
  <si>
    <t>OCULTAR</t>
  </si>
  <si>
    <t>MATRICULA FIN DE AÑO</t>
  </si>
  <si>
    <t>EXP.</t>
  </si>
  <si>
    <t>TRASLADO</t>
  </si>
  <si>
    <t>MAESTRO/A</t>
  </si>
  <si>
    <t>DIRECTOR/A</t>
  </si>
  <si>
    <t>CONFIGURACIÓN</t>
  </si>
  <si>
    <t>Nro</t>
  </si>
  <si>
    <t>mostrar</t>
  </si>
  <si>
    <t>mostar</t>
  </si>
  <si>
    <t>TUTOR 1:</t>
  </si>
  <si>
    <t>TUTOR 2:</t>
  </si>
  <si>
    <t>EVALUACIÓN CUANTITATIVA</t>
  </si>
  <si>
    <t>SER</t>
  </si>
  <si>
    <t>DECIDIR</t>
  </si>
  <si>
    <t>HISTORIA</t>
  </si>
  <si>
    <t>GEOGRAFIA</t>
  </si>
  <si>
    <t>BIOLOGIA</t>
  </si>
  <si>
    <t>PRIMARIA COMUNITARIA VOCACIONAL</t>
  </si>
  <si>
    <t>TECNICA TECNOLOGICA</t>
  </si>
  <si>
    <t>CIENCIAS NATURALES</t>
  </si>
  <si>
    <t>ALEMAN</t>
  </si>
  <si>
    <t>EDUCACION CIVICA</t>
  </si>
  <si>
    <t>NIVEL</t>
  </si>
  <si>
    <t>SECUNDARIA COMUNITARIA PRODUCTIVA</t>
  </si>
  <si>
    <t>TARDE</t>
  </si>
  <si>
    <t>Cantidad</t>
  </si>
  <si>
    <t>TURNO</t>
  </si>
  <si>
    <t>MAÑANA</t>
  </si>
  <si>
    <t>NOCHE</t>
  </si>
  <si>
    <t>L</t>
  </si>
  <si>
    <t>NOTA</t>
  </si>
  <si>
    <t>REFERENCIA</t>
  </si>
  <si>
    <t>ABRE.</t>
  </si>
  <si>
    <t>FALTA SIN LICENCIA (0 Pts.)</t>
  </si>
  <si>
    <t>FALTAS</t>
  </si>
  <si>
    <t>TRABAJA</t>
  </si>
  <si>
    <t>CON QUIEN VIVE</t>
  </si>
  <si>
    <t>OCUPACION</t>
  </si>
  <si>
    <t>NOTAS TRIMESTRAL</t>
  </si>
  <si>
    <t>NOTA T1</t>
  </si>
  <si>
    <t>NOTA T2</t>
  </si>
  <si>
    <t>P. FINAL</t>
  </si>
  <si>
    <t>JERARQUIA</t>
  </si>
  <si>
    <t>SER - 5</t>
  </si>
  <si>
    <t>SABER - 45</t>
  </si>
  <si>
    <t>HACER - 40</t>
  </si>
  <si>
    <t>DECIDIR - 5</t>
  </si>
  <si>
    <t>AUTOEVALUACION</t>
  </si>
  <si>
    <t>LICENCIAS</t>
  </si>
  <si>
    <t>ASISTE</t>
  </si>
  <si>
    <t>LLEGA TARDE</t>
  </si>
  <si>
    <t>NOTA ASISTENCIA</t>
  </si>
  <si>
    <t>ASISTENCIA (5 Pts.)</t>
  </si>
  <si>
    <t>FALTA CON LICENCIA (5 Pts.)</t>
  </si>
  <si>
    <t>ASISTE PERO LLEGA TARDE (3 Pts.)</t>
  </si>
  <si>
    <t>TOTAL DIAS TRABAJADOS</t>
  </si>
  <si>
    <t>SIN LICENCIA (F)</t>
  </si>
  <si>
    <t>CON LICENCIA (L)</t>
  </si>
  <si>
    <t>LLEGA TARDE (T)</t>
  </si>
  <si>
    <t>ASISTENCIA (A)</t>
  </si>
  <si>
    <t>ver. 7 - 2025</t>
  </si>
  <si>
    <r>
      <t>B</t>
    </r>
    <r>
      <rPr>
        <b/>
        <u/>
        <sz val="20"/>
        <rFont val="Calibri"/>
        <family val="2"/>
        <scheme val="minor"/>
      </rPr>
      <t>A S I S T E N C I A</t>
    </r>
  </si>
  <si>
    <t>P R I M E R     T R I M E S T R E</t>
  </si>
  <si>
    <t>S E G U N D O     T R I M E S T R E</t>
  </si>
  <si>
    <t>T E R C E R     T R I M E S T R E</t>
  </si>
  <si>
    <t>MEJORES PROMEDIOS</t>
  </si>
  <si>
    <t>PROMOCION FINAL</t>
  </si>
  <si>
    <t>DIMENSION</t>
  </si>
  <si>
    <t>SABER</t>
  </si>
  <si>
    <t>HACER</t>
  </si>
  <si>
    <t>NOMBRE</t>
  </si>
  <si>
    <t>1A</t>
  </si>
  <si>
    <t>1B</t>
  </si>
  <si>
    <t>1C</t>
  </si>
  <si>
    <t>2A</t>
  </si>
  <si>
    <t>2B</t>
  </si>
  <si>
    <t>2C</t>
  </si>
  <si>
    <t>3A</t>
  </si>
  <si>
    <t>3B</t>
  </si>
  <si>
    <t>3C</t>
  </si>
  <si>
    <t>4A</t>
  </si>
  <si>
    <t>4B</t>
  </si>
  <si>
    <t>4C</t>
  </si>
  <si>
    <t>5A</t>
  </si>
  <si>
    <t>5B</t>
  </si>
  <si>
    <t>5C</t>
  </si>
  <si>
    <t>6A</t>
  </si>
  <si>
    <t>6B</t>
  </si>
  <si>
    <t>6C</t>
  </si>
  <si>
    <t>AL</t>
  </si>
  <si>
    <t>AP</t>
  </si>
  <si>
    <t>BG</t>
  </si>
  <si>
    <t>CS</t>
  </si>
  <si>
    <t>CN</t>
  </si>
  <si>
    <t>LEN</t>
  </si>
  <si>
    <t>CIV</t>
  </si>
  <si>
    <t>EF</t>
  </si>
  <si>
    <t>MUS</t>
  </si>
  <si>
    <t>FIL</t>
  </si>
  <si>
    <t>FIS</t>
  </si>
  <si>
    <t>FQ</t>
  </si>
  <si>
    <t>GEO</t>
  </si>
  <si>
    <t>HIS</t>
  </si>
  <si>
    <t>ING</t>
  </si>
  <si>
    <t>MAT</t>
  </si>
  <si>
    <t>QUIM</t>
  </si>
  <si>
    <t>TEC</t>
  </si>
  <si>
    <t>REL</t>
  </si>
  <si>
    <t>NOMBRE DE ARCHIVO</t>
  </si>
  <si>
    <t>CONFIGURACION</t>
  </si>
  <si>
    <t>DIAS</t>
  </si>
  <si>
    <t>CANTIDAD DE ESTUDIANTES</t>
  </si>
  <si>
    <t>nombre maestro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</si>
</sst>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8">
    <font>
      <sz val="12"/>
      <name val="宋体"/>
      <charset val="13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6"/>
      <color rgb="FF000000"/>
      <name val="Calibri"/>
      <family val="2"/>
    </font>
    <font>
      <u/>
      <sz val="12"/>
      <color theme="10"/>
      <name val="宋体"/>
      <charset val="134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6"/>
      <color rgb="FF000000"/>
      <name val="Arial Black"/>
      <family val="2"/>
    </font>
    <font>
      <b/>
      <sz val="13"/>
      <color rgb="FF000000"/>
      <name val="Calibri"/>
      <family val="2"/>
    </font>
    <font>
      <b/>
      <sz val="16"/>
      <color theme="0"/>
      <name val="Arial Black"/>
      <family val="2"/>
    </font>
    <font>
      <sz val="10"/>
      <color rgb="FF000000"/>
      <name val="Calibri"/>
      <family val="2"/>
    </font>
    <font>
      <b/>
      <sz val="9"/>
      <color rgb="FF000000"/>
      <name val="Calibri"/>
      <family val="2"/>
    </font>
    <font>
      <b/>
      <sz val="10"/>
      <color theme="0"/>
      <name val="Arial Black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2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3"/>
      <color rgb="FF000000"/>
      <name val="Agency FB"/>
      <family val="2"/>
    </font>
    <font>
      <b/>
      <sz val="14"/>
      <color rgb="FF000000"/>
      <name val="Agency FB"/>
      <family val="2"/>
    </font>
    <font>
      <sz val="14"/>
      <color rgb="FF000000"/>
      <name val="Calibri"/>
      <family val="2"/>
    </font>
    <font>
      <b/>
      <u/>
      <sz val="14"/>
      <color rgb="FF0070C0"/>
      <name val="Arial"/>
      <family val="2"/>
    </font>
    <font>
      <b/>
      <sz val="10"/>
      <color rgb="FF000000"/>
      <name val="Calibri"/>
      <family val="2"/>
    </font>
    <font>
      <b/>
      <sz val="16"/>
      <name val="Arial Black"/>
      <family val="2"/>
    </font>
    <font>
      <sz val="10"/>
      <name val="Calibri"/>
      <family val="2"/>
    </font>
    <font>
      <b/>
      <u/>
      <sz val="12"/>
      <name val="Arial"/>
      <family val="2"/>
    </font>
    <font>
      <b/>
      <sz val="12"/>
      <name val="Agency FB"/>
      <family val="2"/>
    </font>
    <font>
      <b/>
      <sz val="13"/>
      <name val="Calibri"/>
      <family val="2"/>
    </font>
    <font>
      <sz val="11"/>
      <color rgb="FFFF0000"/>
      <name val="Calibri"/>
      <family val="2"/>
      <scheme val="minor"/>
    </font>
    <font>
      <sz val="10"/>
      <color theme="1"/>
      <name val="Arial Rounded MT Bold"/>
      <family val="2"/>
    </font>
    <font>
      <u/>
      <sz val="11"/>
      <color theme="10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8"/>
      <color indexed="62"/>
      <name val="Cambria"/>
      <family val="2"/>
    </font>
    <font>
      <sz val="12"/>
      <name val="宋体"/>
      <charset val="134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8"/>
      <color rgb="FF000000"/>
      <name val="Calibri"/>
      <family val="2"/>
    </font>
    <font>
      <b/>
      <sz val="14"/>
      <name val="Calibri"/>
      <family val="2"/>
    </font>
    <font>
      <b/>
      <sz val="9"/>
      <name val="Calibri"/>
      <family val="2"/>
    </font>
    <font>
      <b/>
      <sz val="9"/>
      <name val="Calibri"/>
      <family val="2"/>
      <scheme val="minor"/>
    </font>
    <font>
      <b/>
      <sz val="10"/>
      <color rgb="FF000000"/>
      <name val="Arial Black"/>
      <family val="2"/>
    </font>
    <font>
      <sz val="13"/>
      <color indexed="8"/>
      <name val="Arial"/>
      <family val="2"/>
    </font>
    <font>
      <sz val="11"/>
      <name val="Arial"/>
      <family val="2"/>
    </font>
    <font>
      <sz val="13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0"/>
      <name val="Arial"/>
      <family val="2"/>
    </font>
    <font>
      <sz val="10"/>
      <name val="Calibri"/>
      <family val="2"/>
      <scheme val="minor"/>
    </font>
    <font>
      <sz val="12"/>
      <color rgb="FF000000"/>
      <name val="Arial"/>
      <family val="2"/>
    </font>
    <font>
      <sz val="18"/>
      <color theme="1"/>
      <name val="Cooper Black"/>
      <family val="1"/>
    </font>
    <font>
      <sz val="14"/>
      <name val="Cooper Black"/>
      <family val="1"/>
    </font>
    <font>
      <sz val="11"/>
      <color rgb="FF000000"/>
      <name val="Arial Black"/>
      <family val="2"/>
    </font>
    <font>
      <b/>
      <sz val="8"/>
      <name val="Calibri"/>
      <family val="2"/>
    </font>
    <font>
      <b/>
      <sz val="16"/>
      <color rgb="FF000000"/>
      <name val="Arial Rounded MT Bold"/>
      <family val="2"/>
    </font>
    <font>
      <b/>
      <sz val="16"/>
      <color indexed="8"/>
      <name val="Arial Rounded MT Bold"/>
      <family val="2"/>
    </font>
    <font>
      <sz val="11"/>
      <color theme="1"/>
      <name val="Calibri"/>
      <family val="2"/>
    </font>
    <font>
      <sz val="8"/>
      <name val="Arial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b/>
      <u/>
      <sz val="20"/>
      <color theme="0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</patternFill>
    </fill>
    <fill>
      <patternFill patternType="solid">
        <fgColor rgb="FFD9969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D4B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99694"/>
        <bgColor indexed="64"/>
      </patternFill>
    </fill>
    <fill>
      <patternFill patternType="solid">
        <fgColor rgb="FFFBD4B4"/>
        <bgColor indexed="64"/>
      </patternFill>
    </fill>
    <fill>
      <patternFill patternType="solid">
        <fgColor rgb="FF99CCFF"/>
        <bgColor indexed="64"/>
      </patternFill>
    </fill>
  </fills>
  <borders count="1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/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/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/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dashed">
        <color indexed="64"/>
      </bottom>
      <diagonal/>
    </border>
    <border>
      <left style="dotted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otted">
        <color indexed="64"/>
      </right>
      <top style="medium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ott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otted">
        <color indexed="64"/>
      </right>
      <top style="dashed">
        <color indexed="64"/>
      </top>
      <bottom style="medium">
        <color indexed="64"/>
      </bottom>
      <diagonal/>
    </border>
    <border>
      <left style="dott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50">
    <xf numFmtId="0" fontId="0" fillId="0" borderId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0"/>
    <xf numFmtId="0" fontId="14" fillId="0" borderId="0"/>
    <xf numFmtId="0" fontId="51" fillId="0" borderId="0" applyNumberFormat="0" applyFill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3" fillId="21" borderId="0" applyNumberFormat="0" applyBorder="0" applyAlignment="0" applyProtection="0"/>
    <xf numFmtId="0" fontId="53" fillId="21" borderId="0" applyNumberFormat="0" applyBorder="0" applyAlignment="0" applyProtection="0"/>
    <xf numFmtId="0" fontId="54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4" borderId="0" applyNumberFormat="0" applyBorder="0" applyAlignment="0" applyProtection="0"/>
    <xf numFmtId="0" fontId="54" fillId="25" borderId="0" applyNumberFormat="0" applyBorder="0" applyAlignment="0" applyProtection="0"/>
    <xf numFmtId="0" fontId="53" fillId="23" borderId="0" applyNumberFormat="0" applyBorder="0" applyAlignment="0" applyProtection="0"/>
    <xf numFmtId="0" fontId="53" fillId="26" borderId="0" applyNumberFormat="0" applyBorder="0" applyAlignment="0" applyProtection="0"/>
    <xf numFmtId="0" fontId="54" fillId="24" borderId="0" applyNumberFormat="0" applyBorder="0" applyAlignment="0" applyProtection="0"/>
    <xf numFmtId="0" fontId="53" fillId="21" borderId="0" applyNumberFormat="0" applyBorder="0" applyAlignment="0" applyProtection="0"/>
    <xf numFmtId="0" fontId="53" fillId="24" borderId="0" applyNumberFormat="0" applyBorder="0" applyAlignment="0" applyProtection="0"/>
    <xf numFmtId="0" fontId="54" fillId="24" borderId="0" applyNumberFormat="0" applyBorder="0" applyAlignment="0" applyProtection="0"/>
    <xf numFmtId="0" fontId="53" fillId="27" borderId="0" applyNumberFormat="0" applyBorder="0" applyAlignment="0" applyProtection="0"/>
    <xf numFmtId="0" fontId="53" fillId="21" borderId="0" applyNumberFormat="0" applyBorder="0" applyAlignment="0" applyProtection="0"/>
    <xf numFmtId="0" fontId="54" fillId="22" borderId="0" applyNumberFormat="0" applyBorder="0" applyAlignment="0" applyProtection="0"/>
    <xf numFmtId="0" fontId="53" fillId="23" borderId="0" applyNumberFormat="0" applyBorder="0" applyAlignment="0" applyProtection="0"/>
    <xf numFmtId="0" fontId="53" fillId="28" borderId="0" applyNumberFormat="0" applyBorder="0" applyAlignment="0" applyProtection="0"/>
    <xf numFmtId="0" fontId="54" fillId="28" borderId="0" applyNumberFormat="0" applyBorder="0" applyAlignment="0" applyProtection="0"/>
    <xf numFmtId="0" fontId="14" fillId="0" borderId="0"/>
    <xf numFmtId="0" fontId="14" fillId="0" borderId="0"/>
    <xf numFmtId="0" fontId="17" fillId="0" borderId="0"/>
    <xf numFmtId="0" fontId="17" fillId="0" borderId="0"/>
    <xf numFmtId="0" fontId="17" fillId="0" borderId="0"/>
    <xf numFmtId="0" fontId="14" fillId="0" borderId="0"/>
    <xf numFmtId="0" fontId="14" fillId="0" borderId="0"/>
    <xf numFmtId="0" fontId="17" fillId="0" borderId="0"/>
    <xf numFmtId="0" fontId="14" fillId="0" borderId="0"/>
    <xf numFmtId="0" fontId="17" fillId="0" borderId="0"/>
    <xf numFmtId="0" fontId="55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13" fillId="0" borderId="0"/>
    <xf numFmtId="0" fontId="11" fillId="0" borderId="0"/>
    <xf numFmtId="14" fontId="11" fillId="32" borderId="108" applyFill="0">
      <alignment horizontal="center" vertical="center"/>
    </xf>
    <xf numFmtId="0" fontId="11" fillId="0" borderId="0"/>
    <xf numFmtId="0" fontId="11" fillId="0" borderId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4" fontId="6" fillId="32" borderId="108" applyFill="0">
      <alignment horizontal="center"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14" fontId="5" fillId="32" borderId="108" applyFill="0">
      <alignment horizontal="center" vertical="center"/>
    </xf>
    <xf numFmtId="0" fontId="56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4" fillId="0" borderId="0"/>
    <xf numFmtId="0" fontId="5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4" fontId="3" fillId="32" borderId="108" applyFill="0">
      <alignment horizontal="center"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97" fillId="0" borderId="0" applyNumberFormat="0" applyFill="0" applyBorder="0" applyAlignment="0" applyProtection="0">
      <alignment vertical="top"/>
      <protection locked="0"/>
    </xf>
  </cellStyleXfs>
  <cellXfs count="769">
    <xf numFmtId="0" fontId="0" fillId="0" borderId="0" xfId="0">
      <alignment vertical="center"/>
    </xf>
    <xf numFmtId="0" fontId="24" fillId="3" borderId="0" xfId="0" applyFont="1" applyFill="1" applyBorder="1" applyAlignment="1" applyProtection="1"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0" fontId="0" fillId="0" borderId="0" xfId="0" applyProtection="1">
      <alignment vertical="center"/>
      <protection hidden="1"/>
    </xf>
    <xf numFmtId="0" fontId="25" fillId="3" borderId="0" xfId="0" applyFont="1" applyFill="1" applyBorder="1" applyAlignment="1" applyProtection="1">
      <alignment horizontal="right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protection hidden="1"/>
    </xf>
    <xf numFmtId="0" fontId="25" fillId="6" borderId="2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24" fillId="7" borderId="1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protection locked="0"/>
    </xf>
    <xf numFmtId="0" fontId="24" fillId="5" borderId="0" xfId="0" applyFont="1" applyFill="1" applyBorder="1" applyAlignment="1" applyProtection="1">
      <alignment horizontal="center"/>
      <protection locked="0"/>
    </xf>
    <xf numFmtId="0" fontId="24" fillId="3" borderId="17" xfId="0" applyFont="1" applyFill="1" applyBorder="1" applyAlignment="1" applyProtection="1">
      <alignment horizontal="center" vertical="center"/>
      <protection hidden="1"/>
    </xf>
    <xf numFmtId="0" fontId="24" fillId="7" borderId="11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vertical="center"/>
      <protection hidden="1"/>
    </xf>
    <xf numFmtId="0" fontId="15" fillId="2" borderId="7" xfId="0" applyFont="1" applyFill="1" applyBorder="1" applyAlignment="1" applyProtection="1">
      <alignment horizontal="center" vertical="center"/>
      <protection hidden="1"/>
    </xf>
    <xf numFmtId="0" fontId="16" fillId="6" borderId="3" xfId="0" applyFont="1" applyFill="1" applyBorder="1" applyAlignment="1" applyProtection="1">
      <alignment horizontal="center" vertical="center"/>
      <protection hidden="1"/>
    </xf>
    <xf numFmtId="0" fontId="15" fillId="2" borderId="15" xfId="0" applyFont="1" applyFill="1" applyBorder="1" applyAlignment="1" applyProtection="1">
      <alignment horizontal="right" vertical="center"/>
      <protection hidden="1"/>
    </xf>
    <xf numFmtId="0" fontId="15" fillId="7" borderId="13" xfId="0" applyFont="1" applyFill="1" applyBorder="1" applyAlignment="1" applyProtection="1">
      <alignment horizontal="right" vertical="center"/>
      <protection hidden="1"/>
    </xf>
    <xf numFmtId="0" fontId="15" fillId="2" borderId="14" xfId="0" applyFont="1" applyFill="1" applyBorder="1" applyAlignment="1" applyProtection="1">
      <alignment horizontal="right" vertical="center"/>
      <protection hidden="1"/>
    </xf>
    <xf numFmtId="0" fontId="24" fillId="3" borderId="18" xfId="0" applyFont="1" applyFill="1" applyBorder="1" applyAlignment="1" applyProtection="1">
      <alignment horizontal="center" vertical="center"/>
      <protection hidden="1"/>
    </xf>
    <xf numFmtId="0" fontId="24" fillId="5" borderId="20" xfId="0" applyFont="1" applyFill="1" applyBorder="1" applyAlignment="1" applyProtection="1">
      <alignment horizontal="center" vertical="center"/>
      <protection hidden="1"/>
    </xf>
    <xf numFmtId="0" fontId="24" fillId="5" borderId="21" xfId="0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0" fontId="26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protection hidden="1"/>
    </xf>
    <xf numFmtId="0" fontId="18" fillId="3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horizontal="right"/>
      <protection hidden="1"/>
    </xf>
    <xf numFmtId="0" fontId="27" fillId="3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alignment horizontal="left" vertical="center"/>
      <protection hidden="1"/>
    </xf>
    <xf numFmtId="0" fontId="18" fillId="3" borderId="0" xfId="0" applyFont="1" applyFill="1" applyBorder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hidden="1"/>
    </xf>
    <xf numFmtId="0" fontId="24" fillId="5" borderId="0" xfId="0" applyFont="1" applyFill="1" applyBorder="1" applyAlignment="1" applyProtection="1">
      <alignment vertical="center"/>
      <protection hidden="1"/>
    </xf>
    <xf numFmtId="0" fontId="27" fillId="3" borderId="0" xfId="0" applyFont="1" applyFill="1" applyBorder="1" applyAlignment="1" applyProtection="1">
      <protection hidden="1"/>
    </xf>
    <xf numFmtId="0" fontId="29" fillId="5" borderId="0" xfId="0" applyFont="1" applyFill="1" applyBorder="1" applyAlignment="1" applyProtection="1">
      <alignment vertical="center"/>
      <protection hidden="1"/>
    </xf>
    <xf numFmtId="0" fontId="25" fillId="3" borderId="0" xfId="0" applyFont="1" applyFill="1" applyBorder="1" applyAlignment="1" applyProtection="1">
      <alignment horizontal="right" vertical="center"/>
      <protection hidden="1"/>
    </xf>
    <xf numFmtId="0" fontId="32" fillId="5" borderId="0" xfId="0" applyFont="1" applyFill="1" applyBorder="1" applyAlignment="1" applyProtection="1">
      <alignment horizontal="center" vertical="center"/>
      <protection hidden="1"/>
    </xf>
    <xf numFmtId="0" fontId="31" fillId="5" borderId="0" xfId="0" applyFont="1" applyFill="1" applyBorder="1" applyAlignment="1" applyProtection="1">
      <alignment horizontal="center" vertical="center" wrapText="1"/>
      <protection hidden="1"/>
    </xf>
    <xf numFmtId="0" fontId="26" fillId="3" borderId="0" xfId="0" applyFont="1" applyFill="1" applyBorder="1" applyAlignment="1" applyProtection="1">
      <protection hidden="1"/>
    </xf>
    <xf numFmtId="0" fontId="26" fillId="3" borderId="0" xfId="0" applyFont="1" applyFill="1" applyBorder="1" applyAlignment="1" applyProtection="1">
      <alignment vertical="center"/>
      <protection hidden="1"/>
    </xf>
    <xf numFmtId="0" fontId="26" fillId="3" borderId="0" xfId="0" applyFont="1" applyFill="1" applyBorder="1" applyAlignment="1" applyProtection="1">
      <alignment horizontal="left" vertical="center"/>
      <protection hidden="1"/>
    </xf>
    <xf numFmtId="0" fontId="18" fillId="5" borderId="0" xfId="0" applyFont="1" applyFill="1" applyBorder="1" applyAlignment="1" applyProtection="1">
      <alignment horizontal="center" textRotation="90"/>
      <protection hidden="1"/>
    </xf>
    <xf numFmtId="0" fontId="25" fillId="3" borderId="0" xfId="0" applyFont="1" applyFill="1" applyBorder="1" applyAlignment="1" applyProtection="1">
      <alignment vertical="center"/>
      <protection hidden="1"/>
    </xf>
    <xf numFmtId="0" fontId="18" fillId="5" borderId="0" xfId="0" applyFont="1" applyFill="1" applyBorder="1" applyAlignment="1" applyProtection="1">
      <alignment horizontal="center" vertical="center"/>
      <protection hidden="1"/>
    </xf>
    <xf numFmtId="0" fontId="24" fillId="3" borderId="0" xfId="0" applyFont="1" applyFill="1" applyBorder="1" applyAlignment="1" applyProtection="1">
      <alignment horizontal="left"/>
      <protection hidden="1"/>
    </xf>
    <xf numFmtId="0" fontId="24" fillId="3" borderId="4" xfId="0" applyFont="1" applyFill="1" applyBorder="1" applyAlignment="1" applyProtection="1">
      <protection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 vertical="center" textRotation="90"/>
      <protection hidden="1"/>
    </xf>
    <xf numFmtId="0" fontId="16" fillId="5" borderId="0" xfId="0" applyFont="1" applyFill="1" applyBorder="1" applyAlignment="1" applyProtection="1">
      <alignment horizontal="right" vertical="center"/>
      <protection hidden="1"/>
    </xf>
    <xf numFmtId="10" fontId="24" fillId="5" borderId="0" xfId="0" applyNumberFormat="1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alignment horizontal="center"/>
      <protection hidden="1"/>
    </xf>
    <xf numFmtId="0" fontId="25" fillId="5" borderId="0" xfId="0" applyFont="1" applyFill="1" applyBorder="1" applyAlignment="1" applyProtection="1">
      <alignment horizontal="center" vertical="center"/>
      <protection hidden="1"/>
    </xf>
    <xf numFmtId="10" fontId="25" fillId="5" borderId="0" xfId="0" applyNumberFormat="1" applyFont="1" applyFill="1" applyBorder="1" applyAlignment="1" applyProtection="1">
      <alignment horizontal="center" vertical="center"/>
      <protection hidden="1"/>
    </xf>
    <xf numFmtId="0" fontId="25" fillId="5" borderId="0" xfId="0" applyFont="1" applyFill="1" applyBorder="1" applyAlignment="1" applyProtection="1"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18" fillId="3" borderId="0" xfId="0" applyFont="1" applyFill="1" applyBorder="1" applyAlignment="1" applyProtection="1">
      <alignment horizontal="left" vertical="center"/>
      <protection hidden="1"/>
    </xf>
    <xf numFmtId="0" fontId="25" fillId="3" borderId="0" xfId="0" applyFont="1" applyFill="1" applyBorder="1" applyAlignment="1" applyProtection="1">
      <protection hidden="1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41" fillId="3" borderId="4" xfId="0" applyFont="1" applyFill="1" applyBorder="1" applyAlignment="1" applyProtection="1">
      <alignment vertical="center"/>
      <protection hidden="1"/>
    </xf>
    <xf numFmtId="0" fontId="34" fillId="3" borderId="4" xfId="0" applyFont="1" applyFill="1" applyBorder="1" applyAlignment="1" applyProtection="1">
      <alignment vertical="center"/>
      <protection hidden="1"/>
    </xf>
    <xf numFmtId="0" fontId="28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alignment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protection hidden="1"/>
    </xf>
    <xf numFmtId="0" fontId="16" fillId="3" borderId="0" xfId="0" applyFont="1" applyFill="1" applyBorder="1" applyAlignment="1" applyProtection="1">
      <protection hidden="1"/>
    </xf>
    <xf numFmtId="0" fontId="0" fillId="5" borderId="0" xfId="0" applyFont="1" applyFill="1" applyBorder="1" applyProtection="1">
      <alignment vertical="center"/>
      <protection hidden="1"/>
    </xf>
    <xf numFmtId="0" fontId="0" fillId="5" borderId="0" xfId="0" applyFont="1" applyFill="1" applyProtection="1">
      <alignment vertical="center"/>
      <protection hidden="1"/>
    </xf>
    <xf numFmtId="0" fontId="0" fillId="0" borderId="0" xfId="0" applyFont="1" applyProtection="1">
      <alignment vertical="center"/>
      <protection hidden="1"/>
    </xf>
    <xf numFmtId="0" fontId="18" fillId="5" borderId="0" xfId="0" applyFont="1" applyFill="1" applyBorder="1" applyAlignment="1" applyProtection="1">
      <alignment horizontal="left" vertical="center"/>
      <protection hidden="1"/>
    </xf>
    <xf numFmtId="0" fontId="45" fillId="9" borderId="17" xfId="0" applyFont="1" applyFill="1" applyBorder="1" applyAlignment="1" applyProtection="1">
      <alignment horizontal="center"/>
      <protection locked="0"/>
    </xf>
    <xf numFmtId="0" fontId="45" fillId="9" borderId="23" xfId="0" applyFont="1" applyFill="1" applyBorder="1" applyAlignment="1" applyProtection="1">
      <alignment horizontal="center"/>
      <protection locked="0"/>
    </xf>
    <xf numFmtId="0" fontId="45" fillId="9" borderId="18" xfId="0" applyFont="1" applyFill="1" applyBorder="1" applyAlignment="1" applyProtection="1">
      <alignment horizontal="center"/>
      <protection locked="0"/>
    </xf>
    <xf numFmtId="0" fontId="47" fillId="3" borderId="0" xfId="0" applyFont="1" applyFill="1" applyBorder="1" applyAlignment="1" applyProtection="1">
      <protection hidden="1"/>
    </xf>
    <xf numFmtId="0" fontId="16" fillId="3" borderId="22" xfId="0" applyFont="1" applyFill="1" applyBorder="1" applyAlignment="1" applyProtection="1">
      <alignment horizontal="center" vertical="center"/>
      <protection hidden="1"/>
    </xf>
    <xf numFmtId="0" fontId="25" fillId="3" borderId="0" xfId="0" applyFont="1" applyFill="1" applyBorder="1" applyAlignment="1" applyProtection="1">
      <alignment horizontal="left" vertical="top"/>
      <protection hidden="1"/>
    </xf>
    <xf numFmtId="0" fontId="34" fillId="5" borderId="0" xfId="0" applyFont="1" applyFill="1" applyBorder="1" applyAlignment="1" applyProtection="1"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 vertical="center"/>
      <protection locked="0"/>
    </xf>
    <xf numFmtId="0" fontId="25" fillId="3" borderId="0" xfId="0" applyFont="1" applyFill="1" applyBorder="1" applyAlignment="1" applyProtection="1"/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4" fillId="0" borderId="0" xfId="3"/>
    <xf numFmtId="0" fontId="51" fillId="0" borderId="0" xfId="4"/>
    <xf numFmtId="0" fontId="14" fillId="0" borderId="0" xfId="3" applyAlignment="1">
      <alignment horizontal="center" vertical="center"/>
    </xf>
    <xf numFmtId="0" fontId="35" fillId="0" borderId="0" xfId="3" applyFont="1"/>
    <xf numFmtId="0" fontId="38" fillId="0" borderId="0" xfId="3" applyFont="1"/>
    <xf numFmtId="0" fontId="34" fillId="5" borderId="53" xfId="0" applyFont="1" applyFill="1" applyBorder="1" applyAlignment="1" applyProtection="1">
      <alignment horizontal="center" vertical="center"/>
      <protection locked="0"/>
    </xf>
    <xf numFmtId="0" fontId="34" fillId="5" borderId="55" xfId="0" applyFont="1" applyFill="1" applyBorder="1" applyAlignment="1" applyProtection="1">
      <alignment horizontal="center" vertical="center"/>
      <protection locked="0"/>
    </xf>
    <xf numFmtId="0" fontId="34" fillId="5" borderId="57" xfId="0" applyFont="1" applyFill="1" applyBorder="1" applyAlignment="1" applyProtection="1">
      <alignment horizontal="center" vertical="center"/>
      <protection locked="0"/>
    </xf>
    <xf numFmtId="0" fontId="40" fillId="5" borderId="44" xfId="0" applyFont="1" applyFill="1" applyBorder="1" applyAlignment="1" applyProtection="1">
      <alignment horizontal="center" vertical="center"/>
      <protection hidden="1"/>
    </xf>
    <xf numFmtId="0" fontId="40" fillId="5" borderId="45" xfId="0" applyFont="1" applyFill="1" applyBorder="1" applyAlignment="1" applyProtection="1">
      <alignment horizontal="center" vertical="center"/>
      <protection hidden="1"/>
    </xf>
    <xf numFmtId="0" fontId="40" fillId="5" borderId="48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47" fillId="3" borderId="0" xfId="0" applyFont="1" applyFill="1" applyBorder="1" applyAlignment="1" applyProtection="1">
      <alignment horizontal="center" vertical="center"/>
      <protection hidden="1"/>
    </xf>
    <xf numFmtId="0" fontId="20" fillId="5" borderId="0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Border="1" applyAlignment="1" applyProtection="1">
      <alignment horizontal="center" vertical="center"/>
      <protection hidden="1"/>
    </xf>
    <xf numFmtId="16" fontId="45" fillId="5" borderId="24" xfId="0" applyNumberFormat="1" applyFont="1" applyFill="1" applyBorder="1" applyAlignment="1" applyProtection="1">
      <alignment horizontal="center" vertical="center" textRotation="90"/>
      <protection locked="0"/>
    </xf>
    <xf numFmtId="16" fontId="45" fillId="5" borderId="25" xfId="0" applyNumberFormat="1" applyFont="1" applyFill="1" applyBorder="1" applyAlignment="1" applyProtection="1">
      <alignment horizontal="center" vertical="center" textRotation="90"/>
      <protection locked="0"/>
    </xf>
    <xf numFmtId="0" fontId="60" fillId="9" borderId="17" xfId="0" applyFont="1" applyFill="1" applyBorder="1" applyAlignment="1" applyProtection="1">
      <alignment horizontal="center" vertical="center" wrapText="1"/>
      <protection hidden="1"/>
    </xf>
    <xf numFmtId="0" fontId="60" fillId="9" borderId="3" xfId="0" applyFont="1" applyFill="1" applyBorder="1" applyAlignment="1" applyProtection="1">
      <alignment horizontal="center" vertical="center" wrapText="1"/>
      <protection hidden="1"/>
    </xf>
    <xf numFmtId="0" fontId="60" fillId="9" borderId="61" xfId="0" applyFont="1" applyFill="1" applyBorder="1" applyAlignment="1" applyProtection="1">
      <alignment horizontal="center" vertical="center" wrapText="1"/>
      <protection hidden="1"/>
    </xf>
    <xf numFmtId="0" fontId="27" fillId="3" borderId="0" xfId="0" applyFont="1" applyFill="1" applyBorder="1" applyAlignment="1" applyProtection="1">
      <alignment horizontal="center" vertical="center"/>
      <protection hidden="1"/>
    </xf>
    <xf numFmtId="0" fontId="27" fillId="3" borderId="0" xfId="0" applyFont="1" applyFill="1" applyBorder="1" applyAlignment="1" applyProtection="1">
      <alignment horizont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16" fontId="45" fillId="5" borderId="26" xfId="0" applyNumberFormat="1" applyFont="1" applyFill="1" applyBorder="1" applyAlignment="1" applyProtection="1">
      <alignment horizontal="center" vertical="center" textRotation="90"/>
      <protection locked="0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textRotation="90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36" fillId="0" borderId="0" xfId="3" applyFont="1" applyAlignment="1">
      <alignment horizontal="center" vertical="center"/>
    </xf>
    <xf numFmtId="0" fontId="36" fillId="0" borderId="0" xfId="3" applyFont="1" applyAlignment="1">
      <alignment vertical="center"/>
    </xf>
    <xf numFmtId="0" fontId="24" fillId="3" borderId="13" xfId="0" applyFont="1" applyFill="1" applyBorder="1" applyAlignment="1" applyProtection="1">
      <protection hidden="1"/>
    </xf>
    <xf numFmtId="0" fontId="33" fillId="4" borderId="2" xfId="0" applyFont="1" applyFill="1" applyBorder="1" applyAlignment="1" applyProtection="1">
      <alignment horizontal="center" vertical="center"/>
      <protection hidden="1"/>
    </xf>
    <xf numFmtId="0" fontId="18" fillId="5" borderId="22" xfId="0" applyFont="1" applyFill="1" applyBorder="1" applyAlignment="1" applyProtection="1">
      <alignment horizontal="center"/>
      <protection hidden="1"/>
    </xf>
    <xf numFmtId="0" fontId="34" fillId="5" borderId="52" xfId="0" applyFont="1" applyFill="1" applyBorder="1" applyAlignment="1" applyProtection="1">
      <alignment horizontal="center" vertical="center"/>
      <protection locked="0" hidden="1"/>
    </xf>
    <xf numFmtId="0" fontId="34" fillId="5" borderId="53" xfId="0" applyFont="1" applyFill="1" applyBorder="1" applyAlignment="1" applyProtection="1">
      <alignment horizontal="center" vertical="center"/>
      <protection locked="0" hidden="1"/>
    </xf>
    <xf numFmtId="0" fontId="34" fillId="5" borderId="54" xfId="0" applyFont="1" applyFill="1" applyBorder="1" applyAlignment="1" applyProtection="1">
      <alignment horizontal="center" vertical="center"/>
      <protection locked="0" hidden="1"/>
    </xf>
    <xf numFmtId="0" fontId="34" fillId="5" borderId="55" xfId="0" applyFont="1" applyFill="1" applyBorder="1" applyAlignment="1" applyProtection="1">
      <alignment horizontal="center" vertical="center"/>
      <protection locked="0" hidden="1"/>
    </xf>
    <xf numFmtId="0" fontId="34" fillId="5" borderId="56" xfId="0" applyFont="1" applyFill="1" applyBorder="1" applyAlignment="1" applyProtection="1">
      <alignment horizontal="center" vertical="center"/>
      <protection locked="0" hidden="1"/>
    </xf>
    <xf numFmtId="0" fontId="34" fillId="5" borderId="57" xfId="0" applyFont="1" applyFill="1" applyBorder="1" applyAlignment="1" applyProtection="1">
      <alignment horizontal="center" vertical="center"/>
      <protection locked="0"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1" fillId="3" borderId="63" xfId="0" applyFont="1" applyFill="1" applyBorder="1" applyAlignment="1" applyProtection="1">
      <alignment horizontal="center" vertical="center"/>
    </xf>
    <xf numFmtId="0" fontId="21" fillId="3" borderId="64" xfId="0" applyFont="1" applyFill="1" applyBorder="1" applyAlignment="1" applyProtection="1">
      <alignment horizontal="center" vertical="center"/>
    </xf>
    <xf numFmtId="0" fontId="21" fillId="5" borderId="64" xfId="0" applyFont="1" applyFill="1" applyBorder="1" applyAlignment="1" applyProtection="1">
      <alignment horizontal="center" vertical="center"/>
    </xf>
    <xf numFmtId="0" fontId="21" fillId="3" borderId="65" xfId="0" applyFont="1" applyFill="1" applyBorder="1" applyAlignment="1" applyProtection="1">
      <alignment horizontal="center" vertical="center"/>
    </xf>
    <xf numFmtId="0" fontId="48" fillId="6" borderId="2" xfId="0" applyFont="1" applyFill="1" applyBorder="1" applyAlignment="1" applyProtection="1">
      <alignment horizontal="center" vertical="center"/>
      <protection hidden="1"/>
    </xf>
    <xf numFmtId="0" fontId="39" fillId="5" borderId="66" xfId="0" applyFont="1" applyFill="1" applyBorder="1" applyAlignment="1" applyProtection="1">
      <alignment horizontal="center" vertical="center"/>
      <protection hidden="1"/>
    </xf>
    <xf numFmtId="0" fontId="34" fillId="5" borderId="70" xfId="0" applyFont="1" applyFill="1" applyBorder="1" applyAlignment="1" applyProtection="1">
      <alignment horizontal="center" vertical="center"/>
      <protection hidden="1"/>
    </xf>
    <xf numFmtId="0" fontId="34" fillId="5" borderId="69" xfId="0" applyFont="1" applyFill="1" applyBorder="1" applyAlignment="1" applyProtection="1">
      <alignment horizontal="center" vertical="center"/>
      <protection hidden="1"/>
    </xf>
    <xf numFmtId="0" fontId="34" fillId="5" borderId="71" xfId="0" applyFont="1" applyFill="1" applyBorder="1" applyAlignment="1" applyProtection="1">
      <alignment horizontal="center" vertical="center"/>
      <protection hidden="1"/>
    </xf>
    <xf numFmtId="0" fontId="34" fillId="5" borderId="72" xfId="0" applyFont="1" applyFill="1" applyBorder="1" applyAlignment="1" applyProtection="1">
      <alignment horizontal="center" vertical="center"/>
      <protection hidden="1"/>
    </xf>
    <xf numFmtId="0" fontId="22" fillId="5" borderId="73" xfId="0" applyFont="1" applyFill="1" applyBorder="1" applyAlignment="1" applyProtection="1">
      <alignment horizontal="center" vertical="center"/>
      <protection hidden="1"/>
    </xf>
    <xf numFmtId="0" fontId="22" fillId="5" borderId="74" xfId="0" applyFont="1" applyFill="1" applyBorder="1" applyAlignment="1" applyProtection="1">
      <alignment horizontal="center" vertical="center"/>
      <protection hidden="1"/>
    </xf>
    <xf numFmtId="0" fontId="28" fillId="5" borderId="74" xfId="0" applyFont="1" applyFill="1" applyBorder="1" applyAlignment="1" applyProtection="1">
      <alignment horizontal="center" vertical="center"/>
      <protection hidden="1"/>
    </xf>
    <xf numFmtId="0" fontId="39" fillId="5" borderId="75" xfId="0" applyFont="1" applyFill="1" applyBorder="1" applyAlignment="1" applyProtection="1">
      <alignment horizontal="center" vertical="center"/>
      <protection hidden="1"/>
    </xf>
    <xf numFmtId="0" fontId="34" fillId="5" borderId="79" xfId="0" applyFont="1" applyFill="1" applyBorder="1" applyAlignment="1" applyProtection="1">
      <alignment horizontal="center" vertical="center"/>
      <protection hidden="1"/>
    </xf>
    <xf numFmtId="0" fontId="34" fillId="5" borderId="78" xfId="0" applyFont="1" applyFill="1" applyBorder="1" applyAlignment="1" applyProtection="1">
      <alignment horizontal="center" vertical="center"/>
      <protection hidden="1"/>
    </xf>
    <xf numFmtId="0" fontId="34" fillId="5" borderId="80" xfId="0" applyFont="1" applyFill="1" applyBorder="1" applyAlignment="1" applyProtection="1">
      <alignment horizontal="center" vertical="center"/>
      <protection hidden="1"/>
    </xf>
    <xf numFmtId="0" fontId="34" fillId="5" borderId="81" xfId="0" applyFont="1" applyFill="1" applyBorder="1" applyAlignment="1" applyProtection="1">
      <alignment horizontal="center" vertical="center"/>
      <protection hidden="1"/>
    </xf>
    <xf numFmtId="0" fontId="22" fillId="5" borderId="77" xfId="0" applyFont="1" applyFill="1" applyBorder="1" applyAlignment="1" applyProtection="1">
      <alignment horizontal="center" vertical="center"/>
      <protection hidden="1"/>
    </xf>
    <xf numFmtId="0" fontId="22" fillId="5" borderId="75" xfId="0" applyFont="1" applyFill="1" applyBorder="1" applyAlignment="1" applyProtection="1">
      <alignment horizontal="center" vertical="center"/>
      <protection hidden="1"/>
    </xf>
    <xf numFmtId="0" fontId="28" fillId="5" borderId="75" xfId="0" applyFont="1" applyFill="1" applyBorder="1" applyAlignment="1" applyProtection="1">
      <alignment horizontal="center" vertical="center"/>
      <protection hidden="1"/>
    </xf>
    <xf numFmtId="0" fontId="39" fillId="5" borderId="82" xfId="0" applyFont="1" applyFill="1" applyBorder="1" applyAlignment="1" applyProtection="1">
      <alignment horizontal="center" vertical="center"/>
      <protection hidden="1"/>
    </xf>
    <xf numFmtId="0" fontId="34" fillId="5" borderId="86" xfId="0" applyFont="1" applyFill="1" applyBorder="1" applyAlignment="1" applyProtection="1">
      <alignment horizontal="center" vertical="center"/>
      <protection hidden="1"/>
    </xf>
    <xf numFmtId="0" fontId="34" fillId="5" borderId="85" xfId="0" applyFont="1" applyFill="1" applyBorder="1" applyAlignment="1" applyProtection="1">
      <alignment horizontal="center" vertical="center"/>
      <protection hidden="1"/>
    </xf>
    <xf numFmtId="0" fontId="34" fillId="5" borderId="87" xfId="0" applyFont="1" applyFill="1" applyBorder="1" applyAlignment="1" applyProtection="1">
      <alignment horizontal="center" vertical="center"/>
      <protection hidden="1"/>
    </xf>
    <xf numFmtId="0" fontId="34" fillId="5" borderId="88" xfId="0" applyFont="1" applyFill="1" applyBorder="1" applyAlignment="1" applyProtection="1">
      <alignment horizontal="center" vertical="center"/>
      <protection hidden="1"/>
    </xf>
    <xf numFmtId="0" fontId="22" fillId="5" borderId="82" xfId="0" applyFont="1" applyFill="1" applyBorder="1" applyAlignment="1" applyProtection="1">
      <alignment horizontal="center" vertical="center"/>
      <protection hidden="1"/>
    </xf>
    <xf numFmtId="0" fontId="28" fillId="5" borderId="82" xfId="0" applyFont="1" applyFill="1" applyBorder="1" applyAlignment="1" applyProtection="1">
      <alignment horizontal="center" vertical="center"/>
      <protection hidden="1"/>
    </xf>
    <xf numFmtId="0" fontId="24" fillId="5" borderId="66" xfId="0" applyFont="1" applyFill="1" applyBorder="1" applyAlignment="1" applyProtection="1">
      <alignment horizontal="center" vertical="center"/>
      <protection hidden="1"/>
    </xf>
    <xf numFmtId="0" fontId="24" fillId="5" borderId="75" xfId="0" applyFont="1" applyFill="1" applyBorder="1" applyAlignment="1" applyProtection="1">
      <alignment horizontal="center" vertical="center"/>
      <protection hidden="1"/>
    </xf>
    <xf numFmtId="0" fontId="24" fillId="5" borderId="82" xfId="0" applyFont="1" applyFill="1" applyBorder="1" applyAlignment="1" applyProtection="1">
      <alignment horizontal="center" vertical="center"/>
      <protection hidden="1"/>
    </xf>
    <xf numFmtId="0" fontId="21" fillId="5" borderId="89" xfId="0" applyFont="1" applyFill="1" applyBorder="1" applyAlignment="1" applyProtection="1">
      <alignment horizontal="center" vertical="center"/>
      <protection locked="0"/>
    </xf>
    <xf numFmtId="0" fontId="21" fillId="5" borderId="90" xfId="0" applyFont="1" applyFill="1" applyBorder="1" applyAlignment="1" applyProtection="1">
      <alignment horizontal="center" vertical="center"/>
      <protection locked="0"/>
    </xf>
    <xf numFmtId="0" fontId="21" fillId="5" borderId="91" xfId="0" applyFont="1" applyFill="1" applyBorder="1" applyAlignment="1" applyProtection="1">
      <alignment horizontal="center" vertical="center"/>
      <protection locked="0"/>
    </xf>
    <xf numFmtId="0" fontId="21" fillId="5" borderId="92" xfId="0" applyFont="1" applyFill="1" applyBorder="1" applyAlignment="1" applyProtection="1">
      <alignment horizontal="center" vertical="center"/>
      <protection locked="0"/>
    </xf>
    <xf numFmtId="0" fontId="21" fillId="5" borderId="93" xfId="0" applyFont="1" applyFill="1" applyBorder="1" applyAlignment="1" applyProtection="1">
      <alignment horizontal="center" vertical="center"/>
      <protection locked="0"/>
    </xf>
    <xf numFmtId="0" fontId="21" fillId="5" borderId="94" xfId="0" applyFont="1" applyFill="1" applyBorder="1" applyAlignment="1" applyProtection="1">
      <alignment horizontal="center" vertical="center"/>
      <protection locked="0"/>
    </xf>
    <xf numFmtId="0" fontId="21" fillId="5" borderId="95" xfId="0" applyFont="1" applyFill="1" applyBorder="1" applyAlignment="1" applyProtection="1">
      <alignment horizontal="center" vertical="center"/>
      <protection locked="0"/>
    </xf>
    <xf numFmtId="0" fontId="21" fillId="5" borderId="96" xfId="0" applyFont="1" applyFill="1" applyBorder="1" applyAlignment="1" applyProtection="1">
      <alignment horizontal="center" vertical="center"/>
      <protection locked="0"/>
    </xf>
    <xf numFmtId="0" fontId="21" fillId="5" borderId="97" xfId="0" applyFont="1" applyFill="1" applyBorder="1" applyAlignment="1" applyProtection="1">
      <alignment horizontal="center" vertical="center"/>
      <protection locked="0"/>
    </xf>
    <xf numFmtId="0" fontId="21" fillId="5" borderId="70" xfId="0" applyFont="1" applyFill="1" applyBorder="1" applyAlignment="1" applyProtection="1">
      <alignment horizontal="center" vertical="center"/>
      <protection locked="0"/>
    </xf>
    <xf numFmtId="0" fontId="21" fillId="5" borderId="98" xfId="0" applyFont="1" applyFill="1" applyBorder="1" applyAlignment="1" applyProtection="1">
      <alignment horizontal="center" vertical="center"/>
      <protection locked="0"/>
    </xf>
    <xf numFmtId="0" fontId="21" fillId="5" borderId="72" xfId="0" applyFont="1" applyFill="1" applyBorder="1" applyAlignment="1" applyProtection="1">
      <alignment horizontal="center" vertical="center"/>
      <protection locked="0"/>
    </xf>
    <xf numFmtId="0" fontId="21" fillId="5" borderId="79" xfId="0" applyFont="1" applyFill="1" applyBorder="1" applyAlignment="1" applyProtection="1">
      <alignment horizontal="center" vertical="center"/>
      <protection locked="0"/>
    </xf>
    <xf numFmtId="0" fontId="21" fillId="5" borderId="99" xfId="0" applyFont="1" applyFill="1" applyBorder="1" applyAlignment="1" applyProtection="1">
      <alignment horizontal="center" vertical="center"/>
      <protection locked="0"/>
    </xf>
    <xf numFmtId="0" fontId="21" fillId="5" borderId="81" xfId="0" applyFont="1" applyFill="1" applyBorder="1" applyAlignment="1" applyProtection="1">
      <alignment horizontal="center" vertical="center"/>
      <protection locked="0"/>
    </xf>
    <xf numFmtId="0" fontId="21" fillId="5" borderId="86" xfId="0" applyFont="1" applyFill="1" applyBorder="1" applyAlignment="1" applyProtection="1">
      <alignment horizontal="center" vertical="center"/>
      <protection locked="0"/>
    </xf>
    <xf numFmtId="0" fontId="21" fillId="5" borderId="100" xfId="0" applyFont="1" applyFill="1" applyBorder="1" applyAlignment="1" applyProtection="1">
      <alignment horizontal="center" vertical="center"/>
      <protection locked="0"/>
    </xf>
    <xf numFmtId="0" fontId="21" fillId="5" borderId="88" xfId="0" applyFont="1" applyFill="1" applyBorder="1" applyAlignment="1" applyProtection="1">
      <alignment horizontal="center" vertical="center"/>
      <protection locked="0"/>
    </xf>
    <xf numFmtId="0" fontId="20" fillId="5" borderId="66" xfId="0" applyFont="1" applyFill="1" applyBorder="1" applyAlignment="1" applyProtection="1">
      <alignment horizontal="center" vertical="center"/>
      <protection hidden="1"/>
    </xf>
    <xf numFmtId="0" fontId="20" fillId="5" borderId="70" xfId="0" applyFont="1" applyFill="1" applyBorder="1" applyAlignment="1" applyProtection="1">
      <alignment horizontal="center" vertical="center"/>
      <protection hidden="1"/>
    </xf>
    <xf numFmtId="0" fontId="20" fillId="5" borderId="103" xfId="0" applyFont="1" applyFill="1" applyBorder="1" applyAlignment="1" applyProtection="1">
      <alignment horizontal="center" vertical="center"/>
      <protection hidden="1"/>
    </xf>
    <xf numFmtId="0" fontId="20" fillId="5" borderId="75" xfId="0" applyFont="1" applyFill="1" applyBorder="1" applyAlignment="1" applyProtection="1">
      <alignment horizontal="center" vertical="center"/>
      <protection hidden="1"/>
    </xf>
    <xf numFmtId="0" fontId="20" fillId="5" borderId="79" xfId="0" applyFont="1" applyFill="1" applyBorder="1" applyAlignment="1" applyProtection="1">
      <alignment horizontal="center" vertical="center"/>
      <protection hidden="1"/>
    </xf>
    <xf numFmtId="0" fontId="20" fillId="5" borderId="104" xfId="0" applyFont="1" applyFill="1" applyBorder="1" applyAlignment="1" applyProtection="1">
      <alignment horizontal="center" vertical="center"/>
      <protection hidden="1"/>
    </xf>
    <xf numFmtId="0" fontId="20" fillId="5" borderId="82" xfId="0" applyFont="1" applyFill="1" applyBorder="1" applyAlignment="1" applyProtection="1">
      <alignment horizontal="center" vertical="center"/>
      <protection hidden="1"/>
    </xf>
    <xf numFmtId="0" fontId="20" fillId="5" borderId="86" xfId="0" applyFont="1" applyFill="1" applyBorder="1" applyAlignment="1" applyProtection="1">
      <alignment horizontal="center" vertical="center"/>
      <protection hidden="1"/>
    </xf>
    <xf numFmtId="0" fontId="20" fillId="5" borderId="105" xfId="0" applyFont="1" applyFill="1" applyBorder="1" applyAlignment="1" applyProtection="1">
      <alignment horizontal="center" vertical="center"/>
      <protection hidden="1"/>
    </xf>
    <xf numFmtId="0" fontId="20" fillId="5" borderId="69" xfId="0" applyFont="1" applyFill="1" applyBorder="1" applyAlignment="1" applyProtection="1">
      <alignment horizontal="center" vertical="center"/>
      <protection hidden="1"/>
    </xf>
    <xf numFmtId="0" fontId="20" fillId="5" borderId="78" xfId="0" applyFont="1" applyFill="1" applyBorder="1" applyAlignment="1" applyProtection="1">
      <alignment horizontal="center" vertical="center"/>
      <protection hidden="1"/>
    </xf>
    <xf numFmtId="0" fontId="20" fillId="5" borderId="85" xfId="0" applyFont="1" applyFill="1" applyBorder="1" applyAlignment="1" applyProtection="1">
      <alignment horizontal="center" vertical="center"/>
      <protection hidden="1"/>
    </xf>
    <xf numFmtId="0" fontId="47" fillId="5" borderId="44" xfId="0" applyFont="1" applyFill="1" applyBorder="1" applyAlignment="1" applyProtection="1">
      <alignment horizontal="center" vertical="center"/>
      <protection hidden="1"/>
    </xf>
    <xf numFmtId="0" fontId="47" fillId="5" borderId="45" xfId="0" applyFont="1" applyFill="1" applyBorder="1" applyAlignment="1" applyProtection="1">
      <alignment horizontal="center" vertical="center"/>
      <protection hidden="1"/>
    </xf>
    <xf numFmtId="0" fontId="47" fillId="5" borderId="48" xfId="0" applyFont="1" applyFill="1" applyBorder="1" applyAlignment="1" applyProtection="1">
      <alignment horizontal="center" vertical="center"/>
      <protection hidden="1"/>
    </xf>
    <xf numFmtId="0" fontId="34" fillId="16" borderId="44" xfId="0" applyFont="1" applyFill="1" applyBorder="1" applyAlignment="1" applyProtection="1">
      <alignment horizontal="center" vertical="center"/>
      <protection hidden="1"/>
    </xf>
    <xf numFmtId="0" fontId="34" fillId="16" borderId="45" xfId="0" applyFont="1" applyFill="1" applyBorder="1" applyAlignment="1" applyProtection="1">
      <alignment horizontal="center" vertical="center"/>
      <protection hidden="1"/>
    </xf>
    <xf numFmtId="0" fontId="34" fillId="16" borderId="48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4" fillId="3" borderId="0" xfId="0" applyFont="1" applyFill="1" applyBorder="1" applyAlignment="1" applyProtection="1">
      <alignment horizontal="center"/>
      <protection hidden="1"/>
    </xf>
    <xf numFmtId="1" fontId="34" fillId="16" borderId="27" xfId="0" applyNumberFormat="1" applyFont="1" applyFill="1" applyBorder="1" applyAlignment="1" applyProtection="1">
      <alignment horizontal="center" vertical="center"/>
      <protection hidden="1"/>
    </xf>
    <xf numFmtId="1" fontId="34" fillId="16" borderId="8" xfId="0" applyNumberFormat="1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textRotation="90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4" fillId="5" borderId="0" xfId="0" applyFont="1" applyFill="1" applyBorder="1" applyAlignment="1" applyProtection="1">
      <alignment horizontal="center"/>
      <protection hidden="1"/>
    </xf>
    <xf numFmtId="0" fontId="24" fillId="5" borderId="109" xfId="0" applyFont="1" applyFill="1" applyBorder="1" applyAlignment="1" applyProtection="1">
      <alignment horizontal="center" vertical="center"/>
      <protection locked="0"/>
    </xf>
    <xf numFmtId="0" fontId="24" fillId="5" borderId="110" xfId="0" applyFont="1" applyFill="1" applyBorder="1" applyAlignment="1" applyProtection="1">
      <alignment horizontal="center" vertical="center"/>
      <protection locked="0"/>
    </xf>
    <xf numFmtId="0" fontId="24" fillId="5" borderId="111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protection hidden="1"/>
    </xf>
    <xf numFmtId="0" fontId="18" fillId="0" borderId="0" xfId="0" applyFont="1" applyFill="1" applyBorder="1" applyAlignment="1" applyProtection="1"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10" fontId="25" fillId="0" borderId="0" xfId="0" applyNumberFormat="1" applyFont="1" applyFill="1" applyBorder="1" applyAlignment="1" applyProtection="1">
      <alignment horizontal="center" vertical="center"/>
      <protection hidden="1"/>
    </xf>
    <xf numFmtId="0" fontId="10" fillId="0" borderId="0" xfId="44" applyFill="1"/>
    <xf numFmtId="0" fontId="57" fillId="0" borderId="22" xfId="44" applyFont="1" applyFill="1" applyBorder="1" applyAlignment="1">
      <alignment horizontal="center" vertical="center"/>
    </xf>
    <xf numFmtId="0" fontId="69" fillId="0" borderId="0" xfId="44" applyFont="1" applyFill="1" applyAlignment="1">
      <alignment vertical="center"/>
    </xf>
    <xf numFmtId="0" fontId="69" fillId="0" borderId="22" xfId="44" applyFont="1" applyFill="1" applyBorder="1" applyAlignment="1">
      <alignment shrinkToFit="1"/>
    </xf>
    <xf numFmtId="0" fontId="69" fillId="0" borderId="0" xfId="44" applyFont="1" applyFill="1" applyAlignment="1"/>
    <xf numFmtId="0" fontId="26" fillId="3" borderId="0" xfId="0" applyFont="1" applyFill="1" applyBorder="1" applyAlignment="1" applyProtection="1">
      <alignment horizontal="center" vertical="center"/>
      <protection hidden="1"/>
    </xf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10" fillId="0" borderId="0" xfId="44" applyFill="1" applyBorder="1"/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 applyAlignment="1" applyProtection="1">
      <alignment horizontal="center"/>
      <protection hidden="1"/>
    </xf>
    <xf numFmtId="0" fontId="24" fillId="5" borderId="109" xfId="0" applyFont="1" applyFill="1" applyBorder="1" applyAlignment="1" applyProtection="1">
      <alignment horizontal="center" vertical="center"/>
      <protection hidden="1"/>
    </xf>
    <xf numFmtId="0" fontId="18" fillId="3" borderId="109" xfId="0" applyFont="1" applyFill="1" applyBorder="1" applyAlignment="1" applyProtection="1">
      <alignment vertical="center"/>
      <protection locked="0"/>
    </xf>
    <xf numFmtId="0" fontId="24" fillId="5" borderId="110" xfId="0" applyFont="1" applyFill="1" applyBorder="1" applyAlignment="1" applyProtection="1">
      <alignment horizontal="center" vertical="center"/>
      <protection hidden="1"/>
    </xf>
    <xf numFmtId="0" fontId="18" fillId="3" borderId="110" xfId="0" applyFont="1" applyFill="1" applyBorder="1" applyAlignment="1" applyProtection="1">
      <alignment vertical="center"/>
      <protection locked="0"/>
    </xf>
    <xf numFmtId="0" fontId="25" fillId="3" borderId="3" xfId="0" applyFont="1" applyFill="1" applyBorder="1" applyAlignment="1" applyProtection="1">
      <alignment horizontal="center" vertical="center"/>
      <protection hidden="1"/>
    </xf>
    <xf numFmtId="0" fontId="25" fillId="6" borderId="4" xfId="0" applyFont="1" applyFill="1" applyBorder="1" applyAlignment="1" applyProtection="1">
      <alignment horizontal="center" vertical="center"/>
      <protection hidden="1"/>
    </xf>
    <xf numFmtId="0" fontId="25" fillId="5" borderId="8" xfId="0" applyFont="1" applyFill="1" applyBorder="1" applyAlignment="1" applyProtection="1">
      <alignment horizontal="center" vertical="center"/>
      <protection hidden="1"/>
    </xf>
    <xf numFmtId="9" fontId="24" fillId="3" borderId="17" xfId="0" applyNumberFormat="1" applyFont="1" applyFill="1" applyBorder="1" applyAlignment="1" applyProtection="1">
      <alignment horizontal="center" vertical="center"/>
      <protection hidden="1"/>
    </xf>
    <xf numFmtId="9" fontId="24" fillId="3" borderId="18" xfId="0" applyNumberFormat="1" applyFont="1" applyFill="1" applyBorder="1" applyAlignment="1" applyProtection="1">
      <alignment horizontal="center" vertical="center"/>
      <protection hidden="1"/>
    </xf>
    <xf numFmtId="9" fontId="25" fillId="3" borderId="19" xfId="0" applyNumberFormat="1" applyFont="1" applyFill="1" applyBorder="1" applyAlignment="1" applyProtection="1">
      <alignment horizontal="center" vertical="center"/>
      <protection hidden="1"/>
    </xf>
    <xf numFmtId="9" fontId="24" fillId="7" borderId="11" xfId="0" applyNumberFormat="1" applyFont="1" applyFill="1" applyBorder="1" applyAlignment="1" applyProtection="1">
      <alignment horizontal="center" vertical="center"/>
      <protection hidden="1"/>
    </xf>
    <xf numFmtId="9" fontId="24" fillId="7" borderId="10" xfId="0" applyNumberFormat="1" applyFont="1" applyFill="1" applyBorder="1" applyAlignment="1" applyProtection="1">
      <alignment horizontal="center" vertical="center"/>
      <protection hidden="1"/>
    </xf>
    <xf numFmtId="9" fontId="25" fillId="6" borderId="7" xfId="0" applyNumberFormat="1" applyFont="1" applyFill="1" applyBorder="1" applyAlignment="1" applyProtection="1">
      <alignment horizontal="center" vertical="center"/>
      <protection hidden="1"/>
    </xf>
    <xf numFmtId="9" fontId="24" fillId="5" borderId="20" xfId="0" applyNumberFormat="1" applyFont="1" applyFill="1" applyBorder="1" applyAlignment="1" applyProtection="1">
      <alignment horizontal="center" vertical="center"/>
      <protection hidden="1"/>
    </xf>
    <xf numFmtId="9" fontId="24" fillId="5" borderId="21" xfId="0" applyNumberFormat="1" applyFont="1" applyFill="1" applyBorder="1" applyAlignment="1" applyProtection="1">
      <alignment horizontal="center" vertical="center"/>
      <protection hidden="1"/>
    </xf>
    <xf numFmtId="9" fontId="25" fillId="5" borderId="9" xfId="0" applyNumberFormat="1" applyFont="1" applyFill="1" applyBorder="1" applyAlignment="1" applyProtection="1">
      <alignment horizontal="center" vertical="center"/>
      <protection hidden="1"/>
    </xf>
    <xf numFmtId="0" fontId="62" fillId="8" borderId="17" xfId="0" applyFont="1" applyFill="1" applyBorder="1" applyAlignment="1" applyProtection="1">
      <alignment horizontal="center" vertical="center"/>
      <protection hidden="1"/>
    </xf>
    <xf numFmtId="0" fontId="62" fillId="8" borderId="16" xfId="0" applyFont="1" applyFill="1" applyBorder="1" applyAlignment="1" applyProtection="1">
      <alignment horizontal="center" vertical="center"/>
      <protection hidden="1"/>
    </xf>
    <xf numFmtId="0" fontId="9" fillId="0" borderId="0" xfId="3" applyFont="1"/>
    <xf numFmtId="0" fontId="24" fillId="3" borderId="22" xfId="0" applyFont="1" applyFill="1" applyBorder="1" applyAlignment="1" applyProtection="1">
      <alignment horizontal="center" vertical="center"/>
      <protection hidden="1"/>
    </xf>
    <xf numFmtId="0" fontId="25" fillId="3" borderId="0" xfId="0" applyFont="1" applyFill="1" applyBorder="1" applyAlignment="1" applyProtection="1">
      <alignment horizontal="left" vertical="center"/>
      <protection hidden="1"/>
    </xf>
    <xf numFmtId="0" fontId="41" fillId="3" borderId="0" xfId="0" applyFont="1" applyFill="1" applyBorder="1" applyAlignment="1" applyProtection="1">
      <protection hidden="1"/>
    </xf>
    <xf numFmtId="0" fontId="25" fillId="16" borderId="29" xfId="0" applyFont="1" applyFill="1" applyBorder="1" applyAlignment="1" applyProtection="1">
      <alignment vertical="center"/>
      <protection hidden="1"/>
    </xf>
    <xf numFmtId="0" fontId="36" fillId="29" borderId="43" xfId="0" applyFont="1" applyFill="1" applyBorder="1" applyAlignment="1" applyProtection="1">
      <alignment vertical="center"/>
      <protection hidden="1"/>
    </xf>
    <xf numFmtId="0" fontId="36" fillId="13" borderId="43" xfId="0" applyFont="1" applyFill="1" applyBorder="1" applyAlignment="1" applyProtection="1">
      <alignment vertical="center"/>
      <protection hidden="1"/>
    </xf>
    <xf numFmtId="0" fontId="36" fillId="5" borderId="49" xfId="0" applyFont="1" applyFill="1" applyBorder="1" applyAlignment="1">
      <alignment vertical="center"/>
    </xf>
    <xf numFmtId="0" fontId="52" fillId="16" borderId="29" xfId="0" applyFont="1" applyFill="1" applyBorder="1" applyAlignment="1" applyProtection="1">
      <alignment vertical="center"/>
      <protection hidden="1"/>
    </xf>
    <xf numFmtId="0" fontId="25" fillId="29" borderId="43" xfId="0" applyFont="1" applyFill="1" applyBorder="1" applyAlignment="1" applyProtection="1">
      <alignment vertical="center"/>
      <protection hidden="1"/>
    </xf>
    <xf numFmtId="0" fontId="25" fillId="13" borderId="43" xfId="0" applyFont="1" applyFill="1" applyBorder="1" applyAlignment="1" applyProtection="1">
      <alignment vertical="center"/>
      <protection hidden="1"/>
    </xf>
    <xf numFmtId="0" fontId="36" fillId="5" borderId="49" xfId="0" applyFont="1" applyFill="1" applyBorder="1" applyAlignment="1" applyProtection="1">
      <alignment vertical="center"/>
      <protection hidden="1"/>
    </xf>
    <xf numFmtId="0" fontId="30" fillId="3" borderId="0" xfId="0" applyFont="1" applyFill="1" applyBorder="1" applyAlignment="1" applyProtection="1">
      <protection hidden="1"/>
    </xf>
    <xf numFmtId="0" fontId="27" fillId="3" borderId="12" xfId="0" applyFont="1" applyFill="1" applyBorder="1" applyAlignment="1" applyProtection="1">
      <alignment vertical="center"/>
      <protection hidden="1"/>
    </xf>
    <xf numFmtId="0" fontId="24" fillId="3" borderId="12" xfId="0" applyFont="1" applyFill="1" applyBorder="1" applyAlignment="1" applyProtection="1">
      <alignment horizontal="center"/>
      <protection hidden="1"/>
    </xf>
    <xf numFmtId="0" fontId="24" fillId="3" borderId="12" xfId="0" applyFont="1" applyFill="1" applyBorder="1" applyAlignment="1" applyProtection="1">
      <protection hidden="1"/>
    </xf>
    <xf numFmtId="0" fontId="30" fillId="5" borderId="0" xfId="0" applyFont="1" applyFill="1" applyBorder="1" applyAlignment="1" applyProtection="1">
      <alignment horizontal="left"/>
      <protection hidden="1"/>
    </xf>
    <xf numFmtId="0" fontId="24" fillId="5" borderId="12" xfId="0" applyFont="1" applyFill="1" applyBorder="1" applyAlignment="1" applyProtection="1">
      <protection hidden="1"/>
    </xf>
    <xf numFmtId="0" fontId="36" fillId="0" borderId="0" xfId="0" applyFont="1" applyFill="1" applyBorder="1" applyAlignment="1">
      <alignment horizontal="left" vertical="center"/>
    </xf>
    <xf numFmtId="0" fontId="58" fillId="0" borderId="0" xfId="0" applyFont="1" applyFill="1" applyBorder="1" applyAlignment="1">
      <alignment horizontal="center" vertical="center"/>
    </xf>
    <xf numFmtId="9" fontId="58" fillId="0" borderId="0" xfId="37" applyFont="1" applyFill="1" applyBorder="1" applyAlignment="1">
      <alignment horizontal="center" vertical="center"/>
    </xf>
    <xf numFmtId="0" fontId="36" fillId="0" borderId="0" xfId="0" applyFont="1" applyFill="1" applyBorder="1" applyAlignment="1" applyProtection="1">
      <alignment horizontal="left" vertical="center"/>
      <protection hidden="1"/>
    </xf>
    <xf numFmtId="0" fontId="58" fillId="0" borderId="0" xfId="0" applyFont="1" applyFill="1" applyBorder="1" applyAlignment="1" applyProtection="1">
      <alignment horizontal="center" vertical="center"/>
      <protection hidden="1"/>
    </xf>
    <xf numFmtId="9" fontId="36" fillId="0" borderId="0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 applyProtection="1">
      <alignment vertical="center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vertical="center"/>
      <protection hidden="1"/>
    </xf>
    <xf numFmtId="0" fontId="36" fillId="0" borderId="0" xfId="0" applyFont="1" applyFill="1" applyBorder="1" applyAlignment="1" applyProtection="1">
      <alignment vertical="center"/>
      <protection hidden="1"/>
    </xf>
    <xf numFmtId="9" fontId="35" fillId="0" borderId="0" xfId="0" applyNumberFormat="1" applyFont="1" applyFill="1" applyBorder="1" applyAlignment="1">
      <alignment horizontal="center" vertical="center"/>
    </xf>
    <xf numFmtId="0" fontId="36" fillId="0" borderId="0" xfId="0" applyFont="1" applyFill="1" applyBorder="1" applyAlignment="1">
      <alignment vertical="center"/>
    </xf>
    <xf numFmtId="0" fontId="59" fillId="0" borderId="0" xfId="0" applyFont="1" applyFill="1" applyBorder="1" applyAlignment="1" applyProtection="1">
      <alignment vertical="center"/>
      <protection hidden="1"/>
    </xf>
    <xf numFmtId="0" fontId="16" fillId="0" borderId="0" xfId="0" applyFont="1" applyFill="1" applyBorder="1" applyAlignment="1" applyProtection="1">
      <alignment vertical="center"/>
      <protection hidden="1"/>
    </xf>
    <xf numFmtId="0" fontId="52" fillId="0" borderId="0" xfId="0" applyFont="1" applyFill="1" applyBorder="1" applyAlignment="1" applyProtection="1">
      <alignment vertical="center"/>
      <protection hidden="1"/>
    </xf>
    <xf numFmtId="1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31" borderId="22" xfId="0" applyFont="1" applyFill="1" applyBorder="1" applyAlignment="1" applyProtection="1">
      <alignment vertical="center" wrapText="1"/>
      <protection hidden="1"/>
    </xf>
    <xf numFmtId="0" fontId="25" fillId="6" borderId="22" xfId="0" applyFont="1" applyFill="1" applyBorder="1" applyAlignment="1" applyProtection="1">
      <alignment vertical="center"/>
      <protection hidden="1"/>
    </xf>
    <xf numFmtId="0" fontId="16" fillId="12" borderId="22" xfId="0" applyFont="1" applyFill="1" applyBorder="1" applyAlignment="1" applyProtection="1">
      <alignment vertical="center"/>
      <protection hidden="1"/>
    </xf>
    <xf numFmtId="0" fontId="25" fillId="30" borderId="22" xfId="0" applyFont="1" applyFill="1" applyBorder="1" applyAlignment="1" applyProtection="1">
      <alignment vertical="center"/>
      <protection hidden="1"/>
    </xf>
    <xf numFmtId="0" fontId="25" fillId="8" borderId="22" xfId="0" applyFont="1" applyFill="1" applyBorder="1" applyAlignment="1" applyProtection="1">
      <alignment vertical="center"/>
      <protection hidden="1"/>
    </xf>
    <xf numFmtId="0" fontId="24" fillId="3" borderId="22" xfId="0" applyFont="1" applyFill="1" applyBorder="1" applyAlignment="1" applyProtection="1">
      <alignment vertical="center"/>
      <protection hidden="1"/>
    </xf>
    <xf numFmtId="0" fontId="25" fillId="6" borderId="22" xfId="0" applyFont="1" applyFill="1" applyBorder="1" applyAlignment="1" applyProtection="1">
      <alignment horizontal="center"/>
      <protection hidden="1"/>
    </xf>
    <xf numFmtId="0" fontId="16" fillId="12" borderId="22" xfId="0" applyFont="1" applyFill="1" applyBorder="1" applyAlignment="1" applyProtection="1">
      <alignment horizontal="center"/>
      <protection hidden="1"/>
    </xf>
    <xf numFmtId="0" fontId="25" fillId="30" borderId="22" xfId="0" applyFont="1" applyFill="1" applyBorder="1" applyAlignment="1" applyProtection="1">
      <alignment horizontal="center"/>
      <protection hidden="1"/>
    </xf>
    <xf numFmtId="0" fontId="25" fillId="8" borderId="22" xfId="0" applyFont="1" applyFill="1" applyBorder="1" applyAlignment="1" applyProtection="1">
      <alignment horizontal="center"/>
      <protection hidden="1"/>
    </xf>
    <xf numFmtId="0" fontId="25" fillId="31" borderId="22" xfId="0" applyFont="1" applyFill="1" applyBorder="1" applyAlignment="1" applyProtection="1">
      <alignment horizontal="center" wrapText="1"/>
      <protection hidden="1"/>
    </xf>
    <xf numFmtId="0" fontId="25" fillId="5" borderId="22" xfId="0" applyFont="1" applyFill="1" applyBorder="1" applyAlignment="1" applyProtection="1">
      <alignment vertical="center"/>
      <protection hidden="1"/>
    </xf>
    <xf numFmtId="0" fontId="24" fillId="16" borderId="22" xfId="0" applyFont="1" applyFill="1" applyBorder="1" applyAlignment="1" applyProtection="1">
      <alignment vertical="center"/>
      <protection hidden="1"/>
    </xf>
    <xf numFmtId="0" fontId="24" fillId="29" borderId="22" xfId="0" applyFont="1" applyFill="1" applyBorder="1" applyAlignment="1" applyProtection="1">
      <alignment vertical="center"/>
      <protection hidden="1"/>
    </xf>
    <xf numFmtId="0" fontId="24" fillId="13" borderId="22" xfId="0" applyFont="1" applyFill="1" applyBorder="1" applyAlignment="1" applyProtection="1">
      <alignment vertical="center"/>
      <protection hidden="1"/>
    </xf>
    <xf numFmtId="0" fontId="59" fillId="5" borderId="22" xfId="0" applyFont="1" applyFill="1" applyBorder="1" applyAlignment="1" applyProtection="1">
      <alignment vertical="center"/>
      <protection hidden="1"/>
    </xf>
    <xf numFmtId="0" fontId="18" fillId="5" borderId="12" xfId="0" applyFont="1" applyFill="1" applyBorder="1" applyAlignment="1" applyProtection="1">
      <protection hidden="1"/>
    </xf>
    <xf numFmtId="0" fontId="21" fillId="5" borderId="121" xfId="0" applyFont="1" applyFill="1" applyBorder="1" applyAlignment="1" applyProtection="1">
      <alignment horizontal="center" vertical="center"/>
      <protection locked="0"/>
    </xf>
    <xf numFmtId="0" fontId="21" fillId="5" borderId="122" xfId="0" applyFont="1" applyFill="1" applyBorder="1" applyAlignment="1" applyProtection="1">
      <alignment horizontal="center" vertical="center"/>
      <protection locked="0"/>
    </xf>
    <xf numFmtId="0" fontId="21" fillId="5" borderId="123" xfId="0" applyFont="1" applyFill="1" applyBorder="1" applyAlignment="1" applyProtection="1">
      <alignment horizontal="center" vertical="center"/>
      <protection locked="0"/>
    </xf>
    <xf numFmtId="0" fontId="21" fillId="5" borderId="124" xfId="0" applyFont="1" applyFill="1" applyBorder="1" applyAlignment="1" applyProtection="1">
      <alignment horizontal="center" vertical="center"/>
      <protection locked="0"/>
    </xf>
    <xf numFmtId="0" fontId="21" fillId="5" borderId="125" xfId="0" applyFont="1" applyFill="1" applyBorder="1" applyAlignment="1" applyProtection="1">
      <alignment horizontal="center" vertical="center"/>
      <protection locked="0"/>
    </xf>
    <xf numFmtId="0" fontId="21" fillId="5" borderId="126" xfId="0" applyFont="1" applyFill="1" applyBorder="1" applyAlignment="1" applyProtection="1">
      <alignment horizontal="center" vertical="center"/>
      <protection locked="0"/>
    </xf>
    <xf numFmtId="0" fontId="71" fillId="0" borderId="0" xfId="3" applyFont="1"/>
    <xf numFmtId="0" fontId="57" fillId="0" borderId="22" xfId="44" applyFont="1" applyFill="1" applyBorder="1" applyAlignment="1">
      <alignment vertical="center"/>
    </xf>
    <xf numFmtId="0" fontId="8" fillId="0" borderId="0" xfId="3" applyFont="1"/>
    <xf numFmtId="0" fontId="28" fillId="5" borderId="0" xfId="0" applyFont="1" applyFill="1" applyBorder="1" applyAlignment="1" applyProtection="1">
      <alignment horizontal="center" vertical="center"/>
      <protection hidden="1"/>
    </xf>
    <xf numFmtId="0" fontId="20" fillId="0" borderId="0" xfId="0" applyFont="1" applyFill="1" applyBorder="1" applyAlignment="1" applyProtection="1">
      <alignment horizontal="center" vertical="center" wrapText="1"/>
      <protection hidden="1"/>
    </xf>
    <xf numFmtId="0" fontId="62" fillId="0" borderId="0" xfId="0" applyFont="1" applyFill="1" applyBorder="1" applyAlignment="1" applyProtection="1">
      <alignment horizontal="center" vertical="center"/>
      <protection hidden="1"/>
    </xf>
    <xf numFmtId="0" fontId="28" fillId="5" borderId="127" xfId="0" applyFont="1" applyFill="1" applyBorder="1" applyAlignment="1" applyProtection="1">
      <alignment horizontal="center" vertical="center"/>
      <protection hidden="1"/>
    </xf>
    <xf numFmtId="0" fontId="28" fillId="5" borderId="128" xfId="0" applyFont="1" applyFill="1" applyBorder="1" applyAlignment="1" applyProtection="1">
      <alignment horizontal="center" vertical="center"/>
      <protection hidden="1"/>
    </xf>
    <xf numFmtId="0" fontId="28" fillId="5" borderId="129" xfId="0" applyFont="1" applyFill="1" applyBorder="1" applyAlignment="1" applyProtection="1">
      <alignment horizontal="center" vertical="center"/>
      <protection hidden="1"/>
    </xf>
    <xf numFmtId="0" fontId="7" fillId="0" borderId="0" xfId="3" applyFont="1"/>
    <xf numFmtId="0" fontId="72" fillId="0" borderId="0" xfId="44" applyFont="1" applyFill="1"/>
    <xf numFmtId="0" fontId="57" fillId="0" borderId="0" xfId="44" applyFont="1" applyFill="1" applyBorder="1" applyAlignment="1" applyProtection="1">
      <protection hidden="1"/>
    </xf>
    <xf numFmtId="0" fontId="69" fillId="0" borderId="0" xfId="44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right"/>
      <protection hidden="1"/>
    </xf>
    <xf numFmtId="0" fontId="18" fillId="5" borderId="0" xfId="0" applyFont="1" applyFill="1" applyBorder="1" applyAlignment="1" applyProtection="1">
      <alignment horizontal="right" vertical="center"/>
      <protection hidden="1"/>
    </xf>
    <xf numFmtId="0" fontId="42" fillId="3" borderId="12" xfId="1" applyNumberFormat="1" applyFont="1" applyFill="1" applyBorder="1" applyAlignment="1" applyProtection="1">
      <protection hidden="1"/>
    </xf>
    <xf numFmtId="0" fontId="73" fillId="3" borderId="9" xfId="1" applyNumberFormat="1" applyFont="1" applyFill="1" applyBorder="1" applyAlignment="1" applyProtection="1">
      <protection locked="0" hidden="1"/>
    </xf>
    <xf numFmtId="0" fontId="26" fillId="5" borderId="0" xfId="0" applyFont="1" applyFill="1" applyBorder="1" applyAlignment="1" applyProtection="1">
      <protection locked="0" hidden="1"/>
    </xf>
    <xf numFmtId="0" fontId="38" fillId="0" borderId="0" xfId="44" applyFont="1" applyFill="1" applyProtection="1">
      <protection locked="0" hidden="1"/>
    </xf>
    <xf numFmtId="0" fontId="35" fillId="0" borderId="0" xfId="44" applyFont="1" applyFill="1"/>
    <xf numFmtId="0" fontId="74" fillId="0" borderId="0" xfId="44" applyFont="1" applyFill="1"/>
    <xf numFmtId="0" fontId="16" fillId="3" borderId="0" xfId="0" applyFont="1" applyFill="1" applyBorder="1" applyAlignment="1" applyProtection="1">
      <alignment horizontal="right"/>
      <protection hidden="1"/>
    </xf>
    <xf numFmtId="0" fontId="18" fillId="3" borderId="0" xfId="0" applyFont="1" applyFill="1" applyBorder="1" applyAlignment="1" applyProtection="1">
      <protection locked="0" hidden="1"/>
    </xf>
    <xf numFmtId="0" fontId="18" fillId="3" borderId="132" xfId="0" applyFont="1" applyFill="1" applyBorder="1" applyAlignment="1" applyProtection="1">
      <alignment horizontal="center" vertical="center"/>
      <protection locked="0" hidden="1"/>
    </xf>
    <xf numFmtId="0" fontId="18" fillId="3" borderId="133" xfId="0" applyFont="1" applyFill="1" applyBorder="1" applyAlignment="1" applyProtection="1">
      <alignment horizontal="center" vertical="center"/>
      <protection locked="0" hidden="1"/>
    </xf>
    <xf numFmtId="0" fontId="24" fillId="5" borderId="111" xfId="0" applyFont="1" applyFill="1" applyBorder="1" applyAlignment="1" applyProtection="1">
      <alignment horizontal="center" vertical="center"/>
      <protection hidden="1"/>
    </xf>
    <xf numFmtId="0" fontId="18" fillId="3" borderId="111" xfId="0" applyFont="1" applyFill="1" applyBorder="1" applyAlignment="1" applyProtection="1">
      <alignment vertical="center"/>
      <protection locked="0"/>
    </xf>
    <xf numFmtId="0" fontId="18" fillId="3" borderId="134" xfId="0" applyFont="1" applyFill="1" applyBorder="1" applyAlignment="1" applyProtection="1">
      <alignment horizontal="center" vertical="center"/>
      <protection locked="0" hidden="1"/>
    </xf>
    <xf numFmtId="0" fontId="19" fillId="9" borderId="11" xfId="0" applyFont="1" applyFill="1" applyBorder="1" applyAlignment="1" applyProtection="1">
      <alignment horizontal="right" vertical="center"/>
      <protection locked="0"/>
    </xf>
    <xf numFmtId="0" fontId="18" fillId="5" borderId="12" xfId="0" applyFont="1" applyFill="1" applyBorder="1" applyAlignment="1" applyProtection="1">
      <alignment horizontal="right"/>
      <protection hidden="1"/>
    </xf>
    <xf numFmtId="0" fontId="16" fillId="5" borderId="12" xfId="0" applyFont="1" applyFill="1" applyBorder="1" applyAlignment="1" applyProtection="1">
      <alignment horizontal="center"/>
      <protection locked="0" hidden="1"/>
    </xf>
    <xf numFmtId="0" fontId="18" fillId="3" borderId="109" xfId="0" applyFont="1" applyFill="1" applyBorder="1" applyAlignment="1" applyProtection="1">
      <alignment horizontal="center" vertical="center"/>
      <protection locked="0"/>
    </xf>
    <xf numFmtId="0" fontId="18" fillId="3" borderId="110" xfId="0" applyFont="1" applyFill="1" applyBorder="1" applyAlignment="1" applyProtection="1">
      <alignment horizontal="center" vertical="center"/>
      <protection locked="0"/>
    </xf>
    <xf numFmtId="0" fontId="18" fillId="3" borderId="111" xfId="0" applyFont="1" applyFill="1" applyBorder="1" applyAlignment="1" applyProtection="1">
      <alignment horizontal="center" vertical="center"/>
      <protection locked="0"/>
    </xf>
    <xf numFmtId="1" fontId="18" fillId="3" borderId="109" xfId="0" applyNumberFormat="1" applyFont="1" applyFill="1" applyBorder="1" applyAlignment="1" applyProtection="1">
      <alignment horizontal="right" vertical="center"/>
      <protection locked="0"/>
    </xf>
    <xf numFmtId="1" fontId="18" fillId="3" borderId="110" xfId="0" applyNumberFormat="1" applyFont="1" applyFill="1" applyBorder="1" applyAlignment="1" applyProtection="1">
      <alignment horizontal="right" vertical="center"/>
      <protection locked="0"/>
    </xf>
    <xf numFmtId="1" fontId="18" fillId="3" borderId="111" xfId="0" applyNumberFormat="1" applyFont="1" applyFill="1" applyBorder="1" applyAlignment="1" applyProtection="1">
      <alignment horizontal="right" vertical="center"/>
      <protection locked="0"/>
    </xf>
    <xf numFmtId="49" fontId="18" fillId="3" borderId="109" xfId="0" applyNumberFormat="1" applyFont="1" applyFill="1" applyBorder="1" applyAlignment="1" applyProtection="1">
      <alignment horizontal="right" vertical="center"/>
      <protection locked="0"/>
    </xf>
    <xf numFmtId="49" fontId="18" fillId="3" borderId="110" xfId="0" applyNumberFormat="1" applyFont="1" applyFill="1" applyBorder="1" applyAlignment="1" applyProtection="1">
      <alignment horizontal="right" vertical="center"/>
      <protection locked="0"/>
    </xf>
    <xf numFmtId="49" fontId="18" fillId="3" borderId="111" xfId="0" applyNumberFormat="1" applyFont="1" applyFill="1" applyBorder="1" applyAlignment="1" applyProtection="1">
      <alignment horizontal="right" vertical="center"/>
      <protection locked="0"/>
    </xf>
    <xf numFmtId="0" fontId="34" fillId="3" borderId="13" xfId="0" applyFont="1" applyFill="1" applyBorder="1" applyAlignment="1" applyProtection="1">
      <alignment vertical="center"/>
      <protection hidden="1"/>
    </xf>
    <xf numFmtId="0" fontId="41" fillId="3" borderId="13" xfId="0" applyFont="1" applyFill="1" applyBorder="1" applyAlignment="1" applyProtection="1">
      <alignment vertical="center"/>
      <protection hidden="1"/>
    </xf>
    <xf numFmtId="0" fontId="34" fillId="3" borderId="7" xfId="0" applyFont="1" applyFill="1" applyBorder="1" applyAlignment="1" applyProtection="1">
      <alignment vertical="center"/>
      <protection hidden="1"/>
    </xf>
    <xf numFmtId="0" fontId="41" fillId="3" borderId="7" xfId="0" applyFont="1" applyFill="1" applyBorder="1" applyAlignment="1" applyProtection="1">
      <alignment vertical="center"/>
      <protection hidden="1"/>
    </xf>
    <xf numFmtId="0" fontId="44" fillId="0" borderId="0" xfId="0" applyFont="1" applyFill="1" applyBorder="1" applyAlignment="1" applyProtection="1">
      <alignment vertical="center"/>
      <protection hidden="1"/>
    </xf>
    <xf numFmtId="164" fontId="34" fillId="13" borderId="44" xfId="0" applyNumberFormat="1" applyFont="1" applyFill="1" applyBorder="1" applyAlignment="1" applyProtection="1">
      <alignment horizontal="center" vertical="center"/>
      <protection hidden="1"/>
    </xf>
    <xf numFmtId="164" fontId="34" fillId="13" borderId="45" xfId="0" applyNumberFormat="1" applyFont="1" applyFill="1" applyBorder="1" applyAlignment="1" applyProtection="1">
      <alignment horizontal="center" vertical="center"/>
      <protection hidden="1"/>
    </xf>
    <xf numFmtId="164" fontId="34" fillId="13" borderId="48" xfId="0" applyNumberFormat="1" applyFont="1" applyFill="1" applyBorder="1" applyAlignment="1" applyProtection="1">
      <alignment horizontal="center" vertical="center"/>
      <protection hidden="1"/>
    </xf>
    <xf numFmtId="0" fontId="36" fillId="0" borderId="0" xfId="3" applyFont="1" applyAlignment="1">
      <alignment horizontal="center"/>
    </xf>
    <xf numFmtId="0" fontId="0" fillId="0" borderId="0" xfId="0">
      <alignment vertical="center"/>
    </xf>
    <xf numFmtId="0" fontId="24" fillId="3" borderId="0" xfId="0" applyFont="1" applyFill="1" applyBorder="1" applyAlignment="1" applyProtection="1">
      <alignment horizontal="center"/>
      <protection hidden="1"/>
    </xf>
    <xf numFmtId="0" fontId="0" fillId="0" borderId="0" xfId="0" applyProtection="1">
      <alignment vertical="center"/>
      <protection hidden="1"/>
    </xf>
    <xf numFmtId="0" fontId="25" fillId="5" borderId="0" xfId="0" applyFont="1" applyFill="1" applyBorder="1" applyAlignment="1" applyProtection="1">
      <alignment vertical="center"/>
      <protection hidden="1"/>
    </xf>
    <xf numFmtId="0" fontId="24" fillId="5" borderId="0" xfId="0" applyFont="1" applyFill="1" applyBorder="1" applyAlignment="1" applyProtection="1">
      <protection hidden="1"/>
    </xf>
    <xf numFmtId="10" fontId="24" fillId="5" borderId="0" xfId="0" applyNumberFormat="1" applyFont="1" applyFill="1" applyBorder="1" applyAlignment="1" applyProtection="1">
      <alignment vertical="center"/>
      <protection hidden="1"/>
    </xf>
    <xf numFmtId="0" fontId="25" fillId="0" borderId="13" xfId="0" applyFont="1" applyFill="1" applyBorder="1" applyAlignment="1" applyProtection="1">
      <protection hidden="1"/>
    </xf>
    <xf numFmtId="0" fontId="25" fillId="8" borderId="13" xfId="0" applyFont="1" applyFill="1" applyBorder="1" applyAlignment="1" applyProtection="1">
      <alignment horizontal="center" vertical="center"/>
      <protection hidden="1"/>
    </xf>
    <xf numFmtId="0" fontId="25" fillId="8" borderId="4" xfId="0" applyFont="1" applyFill="1" applyBorder="1" applyAlignment="1" applyProtection="1">
      <alignment horizontal="center" vertical="center"/>
      <protection hidden="1"/>
    </xf>
    <xf numFmtId="0" fontId="24" fillId="5" borderId="66" xfId="0" applyFont="1" applyFill="1" applyBorder="1" applyAlignment="1" applyProtection="1">
      <alignment vertical="center"/>
      <protection hidden="1"/>
    </xf>
    <xf numFmtId="0" fontId="24" fillId="5" borderId="82" xfId="0" applyFont="1" applyFill="1" applyBorder="1" applyAlignment="1" applyProtection="1">
      <alignment vertical="center"/>
      <protection hidden="1"/>
    </xf>
    <xf numFmtId="0" fontId="25" fillId="5" borderId="2" xfId="0" applyFont="1" applyFill="1" applyBorder="1" applyAlignment="1" applyProtection="1">
      <protection hidden="1"/>
    </xf>
    <xf numFmtId="0" fontId="24" fillId="0" borderId="0" xfId="0" applyFont="1" applyFill="1" applyBorder="1" applyAlignment="1" applyProtection="1">
      <protection hidden="1"/>
    </xf>
    <xf numFmtId="10" fontId="25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Font="1" applyFill="1" applyBorder="1" applyAlignment="1" applyProtection="1">
      <alignment horizontal="center" vertical="center"/>
      <protection hidden="1"/>
    </xf>
    <xf numFmtId="1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5" fillId="0" borderId="0" xfId="0" applyNumberFormat="1" applyFont="1" applyFill="1" applyBorder="1" applyAlignment="1" applyProtection="1">
      <alignment horizontal="center" vertical="center"/>
      <protection hidden="1"/>
    </xf>
    <xf numFmtId="10" fontId="25" fillId="0" borderId="0" xfId="0" applyNumberFormat="1" applyFont="1" applyFill="1" applyBorder="1" applyAlignment="1" applyProtection="1">
      <alignment vertical="center"/>
      <protection hidden="1"/>
    </xf>
    <xf numFmtId="0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24" fillId="0" borderId="67" xfId="0" applyFont="1" applyFill="1" applyBorder="1" applyAlignment="1" applyProtection="1">
      <protection hidden="1"/>
    </xf>
    <xf numFmtId="0" fontId="24" fillId="0" borderId="102" xfId="0" applyFont="1" applyFill="1" applyBorder="1" applyAlignment="1" applyProtection="1">
      <alignment vertical="center"/>
      <protection hidden="1"/>
    </xf>
    <xf numFmtId="0" fontId="18" fillId="0" borderId="66" xfId="0" applyNumberFormat="1" applyFont="1" applyFill="1" applyBorder="1" applyAlignment="1" applyProtection="1">
      <alignment horizontal="center" vertical="center"/>
      <protection hidden="1"/>
    </xf>
    <xf numFmtId="10" fontId="16" fillId="5" borderId="0" xfId="0" applyNumberFormat="1" applyFont="1" applyFill="1" applyBorder="1" applyAlignment="1" applyProtection="1">
      <alignment vertical="center"/>
      <protection hidden="1"/>
    </xf>
    <xf numFmtId="0" fontId="18" fillId="0" borderId="82" xfId="0" applyNumberFormat="1" applyFont="1" applyFill="1" applyBorder="1" applyAlignment="1" applyProtection="1">
      <alignment horizontal="center" vertical="center"/>
      <protection hidden="1"/>
    </xf>
    <xf numFmtId="10" fontId="18" fillId="5" borderId="0" xfId="0" applyNumberFormat="1" applyFont="1" applyFill="1" applyBorder="1" applyAlignment="1" applyProtection="1">
      <alignment vertical="center"/>
      <protection hidden="1"/>
    </xf>
    <xf numFmtId="0" fontId="24" fillId="5" borderId="67" xfId="0" applyFont="1" applyFill="1" applyBorder="1" applyAlignment="1" applyProtection="1">
      <alignment horizontal="center" vertical="center"/>
      <protection hidden="1"/>
    </xf>
    <xf numFmtId="1" fontId="24" fillId="5" borderId="66" xfId="0" applyNumberFormat="1" applyFont="1" applyFill="1" applyBorder="1" applyAlignment="1" applyProtection="1">
      <alignment horizontal="center" vertical="center"/>
      <protection hidden="1"/>
    </xf>
    <xf numFmtId="0" fontId="25" fillId="9" borderId="13" xfId="0" applyFont="1" applyFill="1" applyBorder="1" applyAlignment="1" applyProtection="1">
      <alignment horizontal="center" vertical="center"/>
      <protection hidden="1"/>
    </xf>
    <xf numFmtId="0" fontId="25" fillId="9" borderId="4" xfId="0" applyFont="1" applyFill="1" applyBorder="1" applyAlignment="1" applyProtection="1">
      <alignment horizontal="center" vertical="center"/>
      <protection hidden="1"/>
    </xf>
    <xf numFmtId="1" fontId="18" fillId="5" borderId="66" xfId="0" applyNumberFormat="1" applyFont="1" applyFill="1" applyBorder="1" applyAlignment="1" applyProtection="1">
      <alignment horizontal="center" vertical="center"/>
      <protection hidden="1"/>
    </xf>
    <xf numFmtId="1" fontId="18" fillId="5" borderId="8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hidden="1"/>
    </xf>
    <xf numFmtId="0" fontId="24" fillId="5" borderId="102" xfId="0" applyFont="1" applyFill="1" applyBorder="1" applyAlignment="1" applyProtection="1">
      <alignment horizontal="center" vertical="center"/>
      <protection hidden="1"/>
    </xf>
    <xf numFmtId="0" fontId="18" fillId="0" borderId="66" xfId="0" applyNumberFormat="1" applyFont="1" applyFill="1" applyBorder="1" applyAlignment="1" applyProtection="1">
      <alignment horizontal="center" vertical="center"/>
      <protection hidden="1"/>
    </xf>
    <xf numFmtId="0" fontId="18" fillId="0" borderId="82" xfId="0" applyNumberFormat="1" applyFont="1" applyFill="1" applyBorder="1" applyAlignment="1" applyProtection="1">
      <alignment horizontal="center" vertical="center"/>
      <protection hidden="1"/>
    </xf>
    <xf numFmtId="1" fontId="24" fillId="5" borderId="101" xfId="0" applyNumberFormat="1" applyFont="1" applyFill="1" applyBorder="1" applyAlignment="1" applyProtection="1">
      <alignment horizontal="center" vertical="center"/>
      <protection hidden="1"/>
    </xf>
    <xf numFmtId="0" fontId="25" fillId="5" borderId="1" xfId="0" applyFont="1" applyFill="1" applyBorder="1" applyAlignment="1" applyProtection="1">
      <alignment horizontal="center" vertical="center"/>
      <protection hidden="1"/>
    </xf>
    <xf numFmtId="1" fontId="25" fillId="5" borderId="2" xfId="0" applyNumberFormat="1" applyFont="1" applyFill="1" applyBorder="1" applyAlignment="1" applyProtection="1">
      <alignment horizontal="center" vertical="center"/>
      <protection hidden="1"/>
    </xf>
    <xf numFmtId="1" fontId="18" fillId="0" borderId="66" xfId="0" applyNumberFormat="1" applyFont="1" applyFill="1" applyBorder="1" applyAlignment="1" applyProtection="1">
      <alignment horizontal="center" vertical="center"/>
      <protection hidden="1"/>
    </xf>
    <xf numFmtId="1" fontId="18" fillId="0" borderId="82" xfId="0" applyNumberFormat="1" applyFont="1" applyFill="1" applyBorder="1" applyAlignment="1" applyProtection="1">
      <alignment horizontal="center" vertical="center"/>
      <protection hidden="1"/>
    </xf>
    <xf numFmtId="0" fontId="36" fillId="0" borderId="0" xfId="3" applyFont="1"/>
    <xf numFmtId="0" fontId="78" fillId="3" borderId="0" xfId="0" applyFont="1" applyFill="1" applyBorder="1" applyAlignment="1" applyProtection="1"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6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left" vertical="center"/>
      <protection hidden="1"/>
    </xf>
    <xf numFmtId="0" fontId="16" fillId="5" borderId="0" xfId="0" applyFont="1" applyFill="1" applyBorder="1" applyAlignment="1" applyProtection="1">
      <alignment horizontal="left" vertical="center"/>
      <protection hidden="1"/>
    </xf>
    <xf numFmtId="0" fontId="25" fillId="6" borderId="5" xfId="0" applyFont="1" applyFill="1" applyBorder="1" applyAlignment="1" applyProtection="1">
      <alignment horizontal="center" vertic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left" vertical="center"/>
      <protection hidden="1"/>
    </xf>
    <xf numFmtId="0" fontId="18" fillId="3" borderId="22" xfId="0" applyFont="1" applyFill="1" applyBorder="1" applyAlignment="1" applyProtection="1">
      <protection hidden="1"/>
    </xf>
    <xf numFmtId="0" fontId="16" fillId="11" borderId="22" xfId="0" applyFont="1" applyFill="1" applyBorder="1" applyAlignment="1" applyProtection="1">
      <alignment horizontal="center" vertical="center"/>
      <protection hidden="1"/>
    </xf>
    <xf numFmtId="0" fontId="16" fillId="10" borderId="22" xfId="0" applyFont="1" applyFill="1" applyBorder="1" applyAlignment="1" applyProtection="1">
      <alignment horizontal="center" vertical="center"/>
      <protection hidden="1"/>
    </xf>
    <xf numFmtId="0" fontId="16" fillId="17" borderId="22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 wrapText="1"/>
      <protection hidden="1"/>
    </xf>
    <xf numFmtId="0" fontId="15" fillId="2" borderId="0" xfId="0" applyFont="1" applyFill="1" applyAlignment="1" applyProtection="1">
      <alignment wrapText="1"/>
      <protection hidden="1"/>
    </xf>
    <xf numFmtId="0" fontId="15" fillId="2" borderId="0" xfId="0" applyFont="1" applyFill="1" applyAlignment="1" applyProtection="1">
      <protection hidden="1"/>
    </xf>
    <xf numFmtId="0" fontId="15" fillId="2" borderId="0" xfId="0" applyFont="1" applyFill="1" applyAlignment="1" applyProtection="1">
      <alignment horizontal="center"/>
      <protection hidden="1"/>
    </xf>
    <xf numFmtId="0" fontId="83" fillId="3" borderId="0" xfId="0" applyFont="1" applyFill="1" applyBorder="1" applyAlignment="1" applyProtection="1">
      <protection hidden="1"/>
    </xf>
    <xf numFmtId="0" fontId="83" fillId="2" borderId="0" xfId="0" applyFont="1" applyFill="1" applyAlignment="1" applyProtection="1">
      <protection hidden="1"/>
    </xf>
    <xf numFmtId="0" fontId="18" fillId="3" borderId="136" xfId="0" applyFont="1" applyFill="1" applyBorder="1" applyAlignment="1" applyProtection="1">
      <protection hidden="1"/>
    </xf>
    <xf numFmtId="0" fontId="18" fillId="3" borderId="137" xfId="0" applyFont="1" applyFill="1" applyBorder="1" applyAlignment="1" applyProtection="1">
      <protection hidden="1"/>
    </xf>
    <xf numFmtId="0" fontId="16" fillId="6" borderId="24" xfId="0" applyFont="1" applyFill="1" applyBorder="1" applyAlignment="1" applyProtection="1">
      <alignment horizontal="center" vertical="center"/>
      <protection hidden="1"/>
    </xf>
    <xf numFmtId="0" fontId="16" fillId="6" borderId="26" xfId="0" applyFont="1" applyFill="1" applyBorder="1" applyAlignment="1" applyProtection="1">
      <alignment horizontal="center" vertical="center" wrapText="1"/>
      <protection hidden="1"/>
    </xf>
    <xf numFmtId="0" fontId="18" fillId="3" borderId="138" xfId="0" applyFont="1" applyFill="1" applyBorder="1" applyAlignment="1" applyProtection="1">
      <protection hidden="1"/>
    </xf>
    <xf numFmtId="0" fontId="18" fillId="3" borderId="133" xfId="0" applyFont="1" applyFill="1" applyBorder="1" applyAlignment="1" applyProtection="1">
      <protection hidden="1"/>
    </xf>
    <xf numFmtId="0" fontId="18" fillId="3" borderId="139" xfId="0" applyFont="1" applyFill="1" applyBorder="1" applyAlignment="1" applyProtection="1">
      <protection hidden="1"/>
    </xf>
    <xf numFmtId="0" fontId="18" fillId="3" borderId="134" xfId="0" applyFont="1" applyFill="1" applyBorder="1" applyAlignment="1" applyProtection="1">
      <protection hidden="1"/>
    </xf>
    <xf numFmtId="0" fontId="24" fillId="5" borderId="76" xfId="0" applyFont="1" applyFill="1" applyBorder="1" applyAlignment="1" applyProtection="1">
      <alignment horizontal="left" vertical="center"/>
      <protection locked="0"/>
    </xf>
    <xf numFmtId="0" fontId="24" fillId="5" borderId="83" xfId="0" applyFont="1" applyFill="1" applyBorder="1" applyAlignment="1" applyProtection="1">
      <alignment horizontal="left" vertical="center"/>
      <protection locked="0"/>
    </xf>
    <xf numFmtId="0" fontId="24" fillId="5" borderId="67" xfId="0" applyFont="1" applyFill="1" applyBorder="1" applyAlignment="1" applyProtection="1">
      <alignment horizontal="left" vertical="center"/>
      <protection locked="0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30" fillId="5" borderId="0" xfId="0" applyFont="1" applyFill="1" applyBorder="1" applyAlignment="1" applyProtection="1">
      <alignment horizontal="left" vertical="center"/>
    </xf>
    <xf numFmtId="14" fontId="24" fillId="5" borderId="109" xfId="0" applyNumberFormat="1" applyFont="1" applyFill="1" applyBorder="1" applyAlignment="1" applyProtection="1">
      <alignment horizontal="center" vertical="center"/>
      <protection locked="0"/>
    </xf>
    <xf numFmtId="14" fontId="24" fillId="5" borderId="110" xfId="0" applyNumberFormat="1" applyFont="1" applyFill="1" applyBorder="1" applyAlignment="1" applyProtection="1">
      <alignment horizontal="center" vertical="center"/>
      <protection locked="0"/>
    </xf>
    <xf numFmtId="14" fontId="24" fillId="5" borderId="111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1" fontId="18" fillId="3" borderId="22" xfId="0" applyNumberFormat="1" applyFont="1" applyFill="1" applyBorder="1" applyAlignment="1" applyProtection="1">
      <alignment horizontal="center" vertical="center"/>
      <protection hidden="1"/>
    </xf>
    <xf numFmtId="0" fontId="46" fillId="3" borderId="0" xfId="1" applyNumberFormat="1" applyFont="1" applyFill="1" applyBorder="1" applyAlignment="1" applyProtection="1">
      <alignment horizontal="left"/>
      <protection hidden="1"/>
    </xf>
    <xf numFmtId="0" fontId="19" fillId="9" borderId="13" xfId="0" applyFont="1" applyFill="1" applyBorder="1" applyAlignment="1" applyProtection="1">
      <alignment horizontal="right" vertical="center"/>
      <protection locked="0"/>
    </xf>
    <xf numFmtId="0" fontId="62" fillId="3" borderId="0" xfId="0" applyFont="1" applyFill="1" applyBorder="1" applyAlignment="1" applyProtection="1">
      <alignment horizontal="left"/>
      <protection hidden="1"/>
    </xf>
    <xf numFmtId="0" fontId="34" fillId="4" borderId="48" xfId="0" applyFont="1" applyFill="1" applyBorder="1" applyAlignment="1" applyProtection="1">
      <alignment horizontal="center" vertical="center" wrapText="1"/>
      <protection hidden="1"/>
    </xf>
    <xf numFmtId="164" fontId="34" fillId="5" borderId="127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28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29" xfId="0" applyNumberFormat="1" applyFont="1" applyFill="1" applyBorder="1" applyAlignment="1" applyProtection="1">
      <alignment horizontal="center" vertical="center"/>
      <protection locked="0" hidden="1"/>
    </xf>
    <xf numFmtId="0" fontId="18" fillId="5" borderId="142" xfId="0" applyFont="1" applyFill="1" applyBorder="1" applyAlignment="1" applyProtection="1">
      <protection hidden="1"/>
    </xf>
    <xf numFmtId="0" fontId="18" fillId="5" borderId="142" xfId="0" applyFont="1" applyFill="1" applyBorder="1" applyAlignment="1" applyProtection="1">
      <alignment horizontal="center" vertical="center" textRotation="90"/>
      <protection hidden="1"/>
    </xf>
    <xf numFmtId="0" fontId="18" fillId="5" borderId="110" xfId="0" applyFont="1" applyFill="1" applyBorder="1" applyAlignment="1" applyProtection="1">
      <alignment horizontal="center"/>
      <protection hidden="1"/>
    </xf>
    <xf numFmtId="0" fontId="18" fillId="5" borderId="110" xfId="0" applyFont="1" applyFill="1" applyBorder="1" applyAlignment="1" applyProtection="1">
      <alignment horizontal="center" vertical="center"/>
      <protection hidden="1"/>
    </xf>
    <xf numFmtId="0" fontId="18" fillId="5" borderId="143" xfId="0" applyFont="1" applyFill="1" applyBorder="1" applyAlignment="1" applyProtection="1">
      <alignment horizontal="center"/>
      <protection hidden="1"/>
    </xf>
    <xf numFmtId="0" fontId="18" fillId="5" borderId="143" xfId="0" applyFont="1" applyFill="1" applyBorder="1" applyAlignment="1" applyProtection="1">
      <alignment horizontal="center" vertic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85" fillId="3" borderId="0" xfId="0" applyFont="1" applyFill="1" applyBorder="1" applyAlignment="1" applyProtection="1">
      <alignment horizontal="left" vertical="center"/>
      <protection hidden="1"/>
    </xf>
    <xf numFmtId="164" fontId="16" fillId="5" borderId="107" xfId="0" applyNumberFormat="1" applyFont="1" applyFill="1" applyBorder="1" applyAlignment="1" applyProtection="1">
      <alignment horizontal="center" vertical="center"/>
      <protection hidden="1"/>
    </xf>
    <xf numFmtId="164" fontId="16" fillId="5" borderId="94" xfId="0" applyNumberFormat="1" applyFont="1" applyFill="1" applyBorder="1" applyAlignment="1" applyProtection="1">
      <alignment horizontal="center" vertical="center"/>
      <protection hidden="1"/>
    </xf>
    <xf numFmtId="164" fontId="16" fillId="5" borderId="97" xfId="0" applyNumberFormat="1" applyFont="1" applyFill="1" applyBorder="1" applyAlignment="1" applyProtection="1">
      <alignment horizontal="center" vertical="center"/>
      <protection hidden="1"/>
    </xf>
    <xf numFmtId="164" fontId="35" fillId="5" borderId="44" xfId="0" applyNumberFormat="1" applyFont="1" applyFill="1" applyBorder="1" applyAlignment="1" applyProtection="1">
      <alignment horizontal="left" vertical="center"/>
      <protection hidden="1"/>
    </xf>
    <xf numFmtId="164" fontId="35" fillId="5" borderId="45" xfId="0" applyNumberFormat="1" applyFont="1" applyFill="1" applyBorder="1" applyAlignment="1" applyProtection="1">
      <alignment horizontal="left" vertical="center"/>
      <protection hidden="1"/>
    </xf>
    <xf numFmtId="164" fontId="35" fillId="5" borderId="48" xfId="0" applyNumberFormat="1" applyFont="1" applyFill="1" applyBorder="1" applyAlignment="1" applyProtection="1">
      <alignment horizontal="left" vertical="center"/>
      <protection hidden="1"/>
    </xf>
    <xf numFmtId="0" fontId="19" fillId="9" borderId="24" xfId="0" applyFont="1" applyFill="1" applyBorder="1" applyAlignment="1" applyProtection="1">
      <alignment horizontal="right" vertical="center"/>
      <protection locked="0"/>
    </xf>
    <xf numFmtId="0" fontId="19" fillId="9" borderId="14" xfId="0" applyFont="1" applyFill="1" applyBorder="1" applyAlignment="1" applyProtection="1">
      <alignment horizontal="right" vertical="center"/>
      <protection locked="0"/>
    </xf>
    <xf numFmtId="0" fontId="21" fillId="3" borderId="58" xfId="0" applyFont="1" applyFill="1" applyBorder="1" applyAlignment="1" applyProtection="1">
      <alignment horizontal="center" vertical="center"/>
    </xf>
    <xf numFmtId="0" fontId="21" fillId="3" borderId="59" xfId="0" applyFont="1" applyFill="1" applyBorder="1" applyAlignment="1" applyProtection="1">
      <alignment horizontal="center" vertical="center"/>
    </xf>
    <xf numFmtId="0" fontId="21" fillId="3" borderId="60" xfId="0" applyFont="1" applyFill="1" applyBorder="1" applyAlignment="1" applyProtection="1">
      <alignment horizontal="center" vertical="center"/>
    </xf>
    <xf numFmtId="0" fontId="16" fillId="9" borderId="2" xfId="0" applyFont="1" applyFill="1" applyBorder="1" applyAlignment="1" applyProtection="1">
      <alignment horizontal="center" vertical="center"/>
      <protection hidden="1"/>
    </xf>
    <xf numFmtId="0" fontId="16" fillId="9" borderId="5" xfId="0" applyFont="1" applyFill="1" applyBorder="1" applyAlignment="1" applyProtection="1">
      <alignment horizontal="center" vertical="center"/>
      <protection hidden="1"/>
    </xf>
    <xf numFmtId="0" fontId="45" fillId="5" borderId="106" xfId="0" applyFont="1" applyFill="1" applyBorder="1" applyAlignment="1" applyProtection="1">
      <alignment horizontal="center" vertical="center"/>
      <protection hidden="1"/>
    </xf>
    <xf numFmtId="0" fontId="45" fillId="5" borderId="92" xfId="0" applyFont="1" applyFill="1" applyBorder="1" applyAlignment="1" applyProtection="1">
      <alignment horizontal="center" vertical="center"/>
      <protection hidden="1"/>
    </xf>
    <xf numFmtId="0" fontId="45" fillId="5" borderId="95" xfId="0" applyFont="1" applyFill="1" applyBorder="1" applyAlignment="1" applyProtection="1">
      <alignment horizontal="center" vertical="center"/>
      <protection hidden="1"/>
    </xf>
    <xf numFmtId="0" fontId="87" fillId="5" borderId="0" xfId="0" applyFont="1" applyFill="1" applyBorder="1" applyAlignment="1" applyProtection="1">
      <alignment vertical="center" wrapText="1"/>
      <protection hidden="1"/>
    </xf>
    <xf numFmtId="0" fontId="87" fillId="5" borderId="0" xfId="0" applyFont="1" applyFill="1" applyBorder="1" applyAlignment="1" applyProtection="1">
      <alignment vertical="center"/>
      <protection hidden="1"/>
    </xf>
    <xf numFmtId="0" fontId="85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center" textRotation="90"/>
      <protection hidden="1"/>
    </xf>
    <xf numFmtId="2" fontId="34" fillId="16" borderId="27" xfId="0" applyNumberFormat="1" applyFont="1" applyFill="1" applyBorder="1" applyAlignment="1" applyProtection="1">
      <alignment horizontal="center" vertical="center"/>
      <protection hidden="1"/>
    </xf>
    <xf numFmtId="2" fontId="34" fillId="16" borderId="8" xfId="0" applyNumberFormat="1" applyFont="1" applyFill="1" applyBorder="1" applyAlignment="1" applyProtection="1">
      <alignment horizontal="center" vertical="center"/>
      <protection hidden="1"/>
    </xf>
    <xf numFmtId="164" fontId="34" fillId="5" borderId="52" xfId="0" applyNumberFormat="1" applyFont="1" applyFill="1" applyBorder="1" applyAlignment="1" applyProtection="1">
      <alignment horizontal="center" vertical="center"/>
      <protection hidden="1"/>
    </xf>
    <xf numFmtId="164" fontId="34" fillId="5" borderId="54" xfId="0" applyNumberFormat="1" applyFont="1" applyFill="1" applyBorder="1" applyAlignment="1" applyProtection="1">
      <alignment horizontal="center" vertical="center"/>
      <protection hidden="1"/>
    </xf>
    <xf numFmtId="164" fontId="34" fillId="5" borderId="56" xfId="0" applyNumberFormat="1" applyFont="1" applyFill="1" applyBorder="1" applyAlignment="1" applyProtection="1">
      <alignment horizontal="center" vertical="center"/>
      <protection hidden="1"/>
    </xf>
    <xf numFmtId="0" fontId="16" fillId="3" borderId="144" xfId="0" applyFont="1" applyFill="1" applyBorder="1" applyAlignment="1" applyProtection="1">
      <alignment horizontal="center" textRotation="90"/>
      <protection hidden="1"/>
    </xf>
    <xf numFmtId="0" fontId="4" fillId="0" borderId="0" xfId="44" applyFont="1" applyFill="1"/>
    <xf numFmtId="0" fontId="89" fillId="3" borderId="0" xfId="0" applyFont="1" applyFill="1" applyBorder="1" applyAlignment="1" applyProtection="1">
      <protection hidden="1"/>
    </xf>
    <xf numFmtId="0" fontId="90" fillId="3" borderId="0" xfId="0" applyFont="1" applyFill="1" applyBorder="1" applyAlignment="1" applyProtection="1">
      <protection hidden="1"/>
    </xf>
    <xf numFmtId="0" fontId="91" fillId="0" borderId="0" xfId="44" applyFont="1" applyFill="1" applyBorder="1" applyAlignment="1">
      <alignment vertical="center"/>
    </xf>
    <xf numFmtId="0" fontId="88" fillId="0" borderId="0" xfId="44" applyFont="1" applyFill="1" applyBorder="1" applyAlignment="1">
      <alignment vertical="center"/>
    </xf>
    <xf numFmtId="0" fontId="68" fillId="0" borderId="0" xfId="44" applyFont="1" applyFill="1" applyBorder="1" applyAlignment="1" applyProtection="1">
      <alignment vertical="center"/>
      <protection hidden="1"/>
    </xf>
    <xf numFmtId="0" fontId="92" fillId="0" borderId="0" xfId="44" applyFont="1" applyFill="1" applyBorder="1" applyAlignment="1">
      <alignment vertical="center"/>
    </xf>
    <xf numFmtId="0" fontId="74" fillId="0" borderId="0" xfId="44" applyFont="1" applyFill="1" applyBorder="1" applyAlignment="1" applyProtection="1">
      <alignment horizontal="left"/>
      <protection hidden="1"/>
    </xf>
    <xf numFmtId="0" fontId="74" fillId="0" borderId="0" xfId="44" applyFont="1" applyFill="1" applyBorder="1" applyAlignment="1">
      <alignment horizontal="left"/>
    </xf>
    <xf numFmtId="0" fontId="89" fillId="3" borderId="0" xfId="0" applyFont="1" applyFill="1" applyBorder="1" applyAlignment="1" applyProtection="1">
      <alignment horizontal="left" vertical="top"/>
      <protection hidden="1"/>
    </xf>
    <xf numFmtId="0" fontId="90" fillId="3" borderId="0" xfId="0" applyFont="1" applyFill="1" applyBorder="1" applyAlignment="1" applyProtection="1">
      <alignment horizontal="left" vertical="top"/>
      <protection hidden="1"/>
    </xf>
    <xf numFmtId="0" fontId="89" fillId="3" borderId="0" xfId="0" applyFont="1" applyFill="1" applyBorder="1" applyAlignment="1" applyProtection="1">
      <alignment horizontal="right" vertical="center"/>
      <protection hidden="1"/>
    </xf>
    <xf numFmtId="0" fontId="93" fillId="3" borderId="0" xfId="0" applyFont="1" applyFill="1" applyBorder="1" applyAlignment="1" applyProtection="1">
      <alignment horizontal="left" vertical="center"/>
      <protection hidden="1"/>
    </xf>
    <xf numFmtId="0" fontId="94" fillId="0" borderId="0" xfId="44" applyFont="1" applyFill="1" applyBorder="1" applyAlignment="1" applyProtection="1">
      <alignment horizontal="left"/>
      <protection hidden="1"/>
    </xf>
    <xf numFmtId="0" fontId="94" fillId="0" borderId="0" xfId="44" applyFont="1" applyFill="1" applyBorder="1" applyAlignment="1">
      <alignment horizontal="left"/>
    </xf>
    <xf numFmtId="0" fontId="94" fillId="0" borderId="0" xfId="44" applyFont="1" applyFill="1" applyBorder="1" applyAlignment="1">
      <alignment vertical="center"/>
    </xf>
    <xf numFmtId="0" fontId="94" fillId="0" borderId="0" xfId="44" applyFont="1" applyFill="1" applyBorder="1" applyAlignment="1"/>
    <xf numFmtId="0" fontId="72" fillId="0" borderId="0" xfId="44" applyFont="1" applyFill="1" applyBorder="1"/>
    <xf numFmtId="0" fontId="4" fillId="0" borderId="0" xfId="44" applyFont="1" applyFill="1" applyBorder="1"/>
    <xf numFmtId="0" fontId="95" fillId="3" borderId="0" xfId="0" applyFont="1" applyFill="1" applyBorder="1" applyAlignment="1" applyProtection="1">
      <alignment horizontal="left" vertical="center"/>
      <protection hidden="1"/>
    </xf>
    <xf numFmtId="0" fontId="95" fillId="3" borderId="0" xfId="0" applyFont="1" applyFill="1" applyBorder="1" applyAlignment="1" applyProtection="1">
      <alignment horizontal="left"/>
      <protection hidden="1"/>
    </xf>
    <xf numFmtId="0" fontId="95" fillId="3" borderId="0" xfId="0" applyFont="1" applyFill="1" applyBorder="1" applyAlignment="1" applyProtection="1">
      <protection hidden="1"/>
    </xf>
    <xf numFmtId="0" fontId="4" fillId="0" borderId="22" xfId="44" applyFont="1" applyFill="1" applyBorder="1" applyAlignment="1">
      <alignment horizontal="center" vertical="center"/>
    </xf>
    <xf numFmtId="0" fontId="4" fillId="0" borderId="0" xfId="44" applyFont="1" applyFill="1" applyAlignment="1"/>
    <xf numFmtId="0" fontId="4" fillId="0" borderId="0" xfId="44" applyFont="1" applyFill="1" applyAlignment="1">
      <alignment horizontal="center" vertical="center"/>
    </xf>
    <xf numFmtId="0" fontId="4" fillId="0" borderId="0" xfId="44" applyFont="1" applyFill="1" applyBorder="1" applyAlignment="1"/>
    <xf numFmtId="0" fontId="4" fillId="0" borderId="22" xfId="44" applyFont="1" applyFill="1" applyBorder="1"/>
    <xf numFmtId="0" fontId="69" fillId="0" borderId="0" xfId="44" applyFont="1" applyFill="1" applyBorder="1" applyAlignment="1">
      <alignment vertical="center"/>
    </xf>
    <xf numFmtId="0" fontId="57" fillId="13" borderId="22" xfId="44" applyFont="1" applyFill="1" applyBorder="1" applyAlignment="1">
      <alignment horizontal="center" vertical="center"/>
    </xf>
    <xf numFmtId="0" fontId="69" fillId="13" borderId="22" xfId="44" applyFont="1" applyFill="1" applyBorder="1" applyAlignment="1">
      <alignment horizontal="center" wrapText="1" shrinkToFit="1"/>
    </xf>
    <xf numFmtId="0" fontId="4" fillId="0" borderId="120" xfId="44" applyFont="1" applyFill="1" applyBorder="1" applyAlignment="1">
      <alignment wrapText="1"/>
    </xf>
    <xf numFmtId="0" fontId="57" fillId="0" borderId="0" xfId="44" applyFont="1" applyFill="1" applyBorder="1" applyAlignment="1">
      <alignment vertical="center"/>
    </xf>
    <xf numFmtId="0" fontId="57" fillId="0" borderId="0" xfId="44" applyFont="1" applyFill="1" applyBorder="1" applyAlignment="1">
      <alignment horizontal="center" vertical="center"/>
    </xf>
    <xf numFmtId="0" fontId="34" fillId="5" borderId="145" xfId="0" applyFont="1" applyFill="1" applyBorder="1" applyAlignment="1" applyProtection="1">
      <alignment horizontal="center" vertical="center"/>
      <protection locked="0" hidden="1"/>
    </xf>
    <xf numFmtId="0" fontId="34" fillId="5" borderId="146" xfId="0" applyFont="1" applyFill="1" applyBorder="1" applyAlignment="1" applyProtection="1">
      <alignment horizontal="center" vertical="center"/>
      <protection locked="0" hidden="1"/>
    </xf>
    <xf numFmtId="0" fontId="34" fillId="5" borderId="147" xfId="0" applyFont="1" applyFill="1" applyBorder="1" applyAlignment="1" applyProtection="1">
      <alignment horizontal="center" vertical="center"/>
      <protection locked="0"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4" fillId="3" borderId="0" xfId="0" applyFont="1" applyFill="1" applyBorder="1" applyAlignment="1" applyProtection="1">
      <protection hidden="1"/>
    </xf>
    <xf numFmtId="0" fontId="25" fillId="9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left" vertical="center"/>
      <protection hidden="1"/>
    </xf>
    <xf numFmtId="0" fontId="33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14" fillId="33" borderId="0" xfId="3" applyFill="1"/>
    <xf numFmtId="0" fontId="12" fillId="33" borderId="0" xfId="3" applyFont="1" applyFill="1"/>
    <xf numFmtId="0" fontId="14" fillId="33" borderId="0" xfId="3" applyFill="1" applyAlignment="1">
      <alignment horizontal="center" vertical="center"/>
    </xf>
    <xf numFmtId="0" fontId="49" fillId="33" borderId="0" xfId="3" applyFont="1" applyFill="1" applyAlignment="1">
      <alignment horizontal="centerContinuous"/>
    </xf>
    <xf numFmtId="0" fontId="14" fillId="33" borderId="0" xfId="3" applyFill="1" applyBorder="1"/>
    <xf numFmtId="0" fontId="14" fillId="13" borderId="0" xfId="3" applyFill="1" applyBorder="1"/>
    <xf numFmtId="0" fontId="50" fillId="13" borderId="0" xfId="3" applyFont="1" applyFill="1" applyBorder="1" applyAlignment="1">
      <alignment horizontal="left" indent="1"/>
    </xf>
    <xf numFmtId="0" fontId="14" fillId="13" borderId="0" xfId="3" applyFill="1" applyBorder="1" applyAlignment="1">
      <alignment horizontal="left" indent="1"/>
    </xf>
    <xf numFmtId="0" fontId="35" fillId="9" borderId="0" xfId="3" applyFont="1" applyFill="1" applyBorder="1" applyAlignment="1" applyProtection="1">
      <alignment horizontal="left" indent="1"/>
      <protection locked="0"/>
    </xf>
    <xf numFmtId="0" fontId="35" fillId="9" borderId="0" xfId="3" applyFont="1" applyFill="1" applyBorder="1" applyAlignment="1" applyProtection="1">
      <alignment horizontal="left" indent="1"/>
    </xf>
    <xf numFmtId="0" fontId="14" fillId="0" borderId="0" xfId="3" applyAlignment="1">
      <alignment horizontal="left" vertical="center"/>
    </xf>
    <xf numFmtId="0" fontId="35" fillId="0" borderId="0" xfId="3" applyFont="1" applyAlignment="1">
      <alignment horizontal="left"/>
    </xf>
    <xf numFmtId="0" fontId="35" fillId="0" borderId="0" xfId="3" applyFont="1" applyAlignment="1">
      <alignment horizontal="left" vertical="center"/>
    </xf>
    <xf numFmtId="0" fontId="18" fillId="3" borderId="116" xfId="0" applyFont="1" applyFill="1" applyBorder="1" applyAlignment="1" applyProtection="1">
      <alignment horizontal="left" vertical="center"/>
      <protection locked="0"/>
    </xf>
    <xf numFmtId="0" fontId="18" fillId="3" borderId="77" xfId="0" applyFont="1" applyFill="1" applyBorder="1" applyAlignment="1" applyProtection="1">
      <alignment horizontal="left" vertical="center"/>
      <protection locked="0"/>
    </xf>
    <xf numFmtId="0" fontId="18" fillId="3" borderId="112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20" fillId="3" borderId="0" xfId="0" applyFont="1" applyFill="1" applyBorder="1" applyAlignment="1" applyProtection="1">
      <alignment textRotation="90"/>
      <protection hidden="1"/>
    </xf>
    <xf numFmtId="0" fontId="18" fillId="5" borderId="0" xfId="0" applyFont="1" applyFill="1" applyBorder="1" applyAlignment="1" applyProtection="1">
      <alignment horizontal="center" vertical="center"/>
      <protection locked="0" hidden="1"/>
    </xf>
    <xf numFmtId="0" fontId="70" fillId="5" borderId="0" xfId="0" applyFont="1" applyFill="1" applyBorder="1" applyAlignment="1" applyProtection="1">
      <protection hidden="1"/>
    </xf>
    <xf numFmtId="0" fontId="21" fillId="3" borderId="22" xfId="0" applyFont="1" applyFill="1" applyBorder="1" applyAlignment="1" applyProtection="1">
      <protection locked="0" hidden="1"/>
    </xf>
    <xf numFmtId="0" fontId="18" fillId="3" borderId="22" xfId="0" applyFont="1" applyFill="1" applyBorder="1" applyAlignment="1" applyProtection="1">
      <alignment horizontal="left" vertical="center"/>
      <protection locked="0" hidden="1"/>
    </xf>
    <xf numFmtId="2" fontId="82" fillId="3" borderId="22" xfId="0" quotePrefix="1" applyNumberFormat="1" applyFont="1" applyFill="1" applyBorder="1" applyAlignment="1" applyProtection="1">
      <alignment horizontal="left" vertical="center"/>
      <protection locked="0" hidden="1"/>
    </xf>
    <xf numFmtId="0" fontId="62" fillId="9" borderId="22" xfId="0" applyFont="1" applyFill="1" applyBorder="1" applyAlignment="1" applyProtection="1">
      <alignment vertical="center"/>
      <protection hidden="1"/>
    </xf>
    <xf numFmtId="164" fontId="34" fillId="5" borderId="145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46" xfId="0" applyNumberFormat="1" applyFont="1" applyFill="1" applyBorder="1" applyAlignment="1" applyProtection="1">
      <alignment horizontal="center" vertical="center"/>
      <protection locked="0" hidden="1"/>
    </xf>
    <xf numFmtId="164" fontId="34" fillId="5" borderId="147" xfId="0" applyNumberFormat="1" applyFont="1" applyFill="1" applyBorder="1" applyAlignment="1" applyProtection="1">
      <alignment horizontal="center" vertical="center"/>
      <protection locked="0"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84" fillId="0" borderId="22" xfId="3" applyFont="1" applyBorder="1" applyAlignment="1" applyProtection="1">
      <alignment horizontal="center" vertical="center"/>
      <protection locked="0"/>
    </xf>
    <xf numFmtId="0" fontId="1" fillId="0" borderId="0" xfId="44" applyFont="1" applyFill="1" applyAlignment="1">
      <alignment vertical="center"/>
    </xf>
    <xf numFmtId="0" fontId="57" fillId="33" borderId="0" xfId="3" applyFont="1" applyFill="1" applyAlignment="1">
      <alignment horizontal="center"/>
    </xf>
    <xf numFmtId="0" fontId="76" fillId="33" borderId="0" xfId="3" applyFont="1" applyFill="1" applyAlignment="1">
      <alignment horizontal="center"/>
    </xf>
    <xf numFmtId="0" fontId="77" fillId="33" borderId="0" xfId="3" applyFont="1" applyFill="1" applyAlignment="1">
      <alignment horizontal="center" vertical="center"/>
    </xf>
    <xf numFmtId="0" fontId="57" fillId="9" borderId="22" xfId="3" applyFont="1" applyFill="1" applyBorder="1" applyAlignment="1">
      <alignment horizontal="center" vertical="center" wrapText="1"/>
    </xf>
    <xf numFmtId="0" fontId="18" fillId="3" borderId="130" xfId="0" applyFont="1" applyFill="1" applyBorder="1" applyAlignment="1" applyProtection="1">
      <alignment horizontal="left" vertical="center"/>
      <protection locked="0"/>
    </xf>
    <xf numFmtId="0" fontId="18" fillId="3" borderId="84" xfId="0" applyFont="1" applyFill="1" applyBorder="1" applyAlignment="1" applyProtection="1">
      <alignment horizontal="left" vertical="center"/>
      <protection locked="0"/>
    </xf>
    <xf numFmtId="0" fontId="18" fillId="3" borderId="114" xfId="0" applyFont="1" applyFill="1" applyBorder="1" applyAlignment="1" applyProtection="1">
      <alignment horizontal="left" vertical="center"/>
      <protection locked="0"/>
    </xf>
    <xf numFmtId="0" fontId="18" fillId="3" borderId="116" xfId="0" applyFont="1" applyFill="1" applyBorder="1" applyAlignment="1" applyProtection="1">
      <alignment horizontal="left" vertical="center"/>
      <protection locked="0"/>
    </xf>
    <xf numFmtId="0" fontId="18" fillId="3" borderId="77" xfId="0" applyFont="1" applyFill="1" applyBorder="1" applyAlignment="1" applyProtection="1">
      <alignment horizontal="left" vertical="center"/>
      <protection locked="0"/>
    </xf>
    <xf numFmtId="0" fontId="18" fillId="3" borderId="112" xfId="0" applyFont="1" applyFill="1" applyBorder="1" applyAlignment="1" applyProtection="1">
      <alignment horizontal="left" vertical="center"/>
      <protection locked="0"/>
    </xf>
    <xf numFmtId="0" fontId="25" fillId="6" borderId="1" xfId="0" applyFont="1" applyFill="1" applyBorder="1" applyAlignment="1" applyProtection="1">
      <alignment horizontal="center"/>
      <protection hidden="1"/>
    </xf>
    <xf numFmtId="0" fontId="25" fillId="6" borderId="5" xfId="0" applyFont="1" applyFill="1" applyBorder="1" applyAlignment="1" applyProtection="1">
      <alignment horizontal="center"/>
      <protection hidden="1"/>
    </xf>
    <xf numFmtId="0" fontId="25" fillId="6" borderId="6" xfId="0" applyFont="1" applyFill="1" applyBorder="1" applyAlignment="1" applyProtection="1">
      <alignment horizontal="center"/>
      <protection hidden="1"/>
    </xf>
    <xf numFmtId="0" fontId="18" fillId="3" borderId="115" xfId="0" applyFont="1" applyFill="1" applyBorder="1" applyAlignment="1" applyProtection="1">
      <alignment horizontal="left" vertical="center"/>
      <protection locked="0"/>
    </xf>
    <xf numFmtId="0" fontId="18" fillId="3" borderId="68" xfId="0" applyFont="1" applyFill="1" applyBorder="1" applyAlignment="1" applyProtection="1">
      <alignment horizontal="left" vertical="center"/>
      <protection locked="0"/>
    </xf>
    <xf numFmtId="0" fontId="18" fillId="3" borderId="113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hidden="1"/>
    </xf>
    <xf numFmtId="0" fontId="37" fillId="3" borderId="12" xfId="1" applyNumberFormat="1" applyFont="1" applyFill="1" applyBorder="1" applyAlignment="1" applyProtection="1">
      <alignment horizontal="left"/>
      <protection hidden="1"/>
    </xf>
    <xf numFmtId="0" fontId="25" fillId="6" borderId="1" xfId="0" applyFont="1" applyFill="1" applyBorder="1" applyAlignment="1" applyProtection="1">
      <alignment horizontal="center" vertical="center"/>
      <protection hidden="1"/>
    </xf>
    <xf numFmtId="0" fontId="25" fillId="6" borderId="5" xfId="0" applyFont="1" applyFill="1" applyBorder="1" applyAlignment="1" applyProtection="1">
      <alignment horizontal="center" vertical="center"/>
      <protection hidden="1"/>
    </xf>
    <xf numFmtId="0" fontId="25" fillId="6" borderId="6" xfId="0" applyFont="1" applyFill="1" applyBorder="1" applyAlignment="1" applyProtection="1">
      <alignment horizontal="center" vertical="center"/>
      <protection hidden="1"/>
    </xf>
    <xf numFmtId="0" fontId="28" fillId="5" borderId="76" xfId="0" applyFont="1" applyFill="1" applyBorder="1" applyAlignment="1" applyProtection="1">
      <alignment horizontal="left" vertical="center"/>
      <protection hidden="1"/>
    </xf>
    <xf numFmtId="0" fontId="28" fillId="5" borderId="78" xfId="0" applyFont="1" applyFill="1" applyBorder="1" applyAlignment="1" applyProtection="1">
      <alignment horizontal="left" vertical="center"/>
      <protection hidden="1"/>
    </xf>
    <xf numFmtId="0" fontId="69" fillId="0" borderId="28" xfId="44" applyFont="1" applyFill="1" applyBorder="1" applyAlignment="1">
      <alignment horizontal="center"/>
    </xf>
    <xf numFmtId="0" fontId="69" fillId="0" borderId="28" xfId="44" applyFont="1" applyFill="1" applyBorder="1" applyAlignment="1" applyProtection="1">
      <alignment horizontal="center"/>
      <protection hidden="1"/>
    </xf>
    <xf numFmtId="0" fontId="62" fillId="6" borderId="3" xfId="0" applyFont="1" applyFill="1" applyBorder="1" applyAlignment="1" applyProtection="1">
      <alignment horizontal="center" vertical="center"/>
      <protection hidden="1"/>
    </xf>
    <xf numFmtId="0" fontId="62" fillId="6" borderId="8" xfId="0" applyFont="1" applyFill="1" applyBorder="1" applyAlignment="1" applyProtection="1">
      <alignment horizontal="center" vertical="center"/>
      <protection hidden="1"/>
    </xf>
    <xf numFmtId="0" fontId="48" fillId="6" borderId="1" xfId="0" applyFont="1" applyFill="1" applyBorder="1" applyAlignment="1" applyProtection="1">
      <alignment horizontal="center" vertical="center"/>
      <protection hidden="1"/>
    </xf>
    <xf numFmtId="0" fontId="48" fillId="6" borderId="5" xfId="0" applyFont="1" applyFill="1" applyBorder="1" applyAlignment="1" applyProtection="1">
      <alignment horizontal="center" vertical="center"/>
      <protection hidden="1"/>
    </xf>
    <xf numFmtId="0" fontId="48" fillId="6" borderId="6" xfId="0" applyFont="1" applyFill="1" applyBorder="1" applyAlignment="1" applyProtection="1">
      <alignment horizontal="center" vertical="center"/>
      <protection hidden="1"/>
    </xf>
    <xf numFmtId="0" fontId="42" fillId="3" borderId="12" xfId="1" applyNumberFormat="1" applyFont="1" applyFill="1" applyBorder="1" applyAlignment="1" applyProtection="1">
      <alignment horizontal="left"/>
      <protection hidden="1"/>
    </xf>
    <xf numFmtId="0" fontId="63" fillId="9" borderId="2" xfId="0" applyFont="1" applyFill="1" applyBorder="1" applyAlignment="1" applyProtection="1">
      <alignment horizontal="center" vertical="center"/>
      <protection hidden="1"/>
    </xf>
    <xf numFmtId="0" fontId="20" fillId="6" borderId="3" xfId="0" applyFont="1" applyFill="1" applyBorder="1" applyAlignment="1" applyProtection="1">
      <alignment horizontal="center" vertical="center" wrapText="1"/>
      <protection hidden="1"/>
    </xf>
    <xf numFmtId="0" fontId="20" fillId="6" borderId="4" xfId="0" applyFont="1" applyFill="1" applyBorder="1" applyAlignment="1" applyProtection="1">
      <alignment horizontal="center" vertical="center" wrapText="1"/>
      <protection hidden="1"/>
    </xf>
    <xf numFmtId="0" fontId="20" fillId="6" borderId="8" xfId="0" applyFont="1" applyFill="1" applyBorder="1" applyAlignment="1" applyProtection="1">
      <alignment horizontal="center" vertical="center" wrapText="1"/>
      <protection hidden="1"/>
    </xf>
    <xf numFmtId="0" fontId="75" fillId="5" borderId="67" xfId="0" applyFont="1" applyFill="1" applyBorder="1" applyAlignment="1" applyProtection="1">
      <alignment horizontal="left" vertical="center"/>
      <protection hidden="1"/>
    </xf>
    <xf numFmtId="0" fontId="75" fillId="5" borderId="68" xfId="0" applyFont="1" applyFill="1" applyBorder="1" applyAlignment="1" applyProtection="1">
      <alignment horizontal="left" vertical="center"/>
      <protection hidden="1"/>
    </xf>
    <xf numFmtId="0" fontId="75" fillId="5" borderId="69" xfId="0" applyFont="1" applyFill="1" applyBorder="1" applyAlignment="1" applyProtection="1">
      <alignment horizontal="left" vertical="center"/>
      <protection hidden="1"/>
    </xf>
    <xf numFmtId="0" fontId="75" fillId="5" borderId="76" xfId="0" applyFont="1" applyFill="1" applyBorder="1" applyAlignment="1" applyProtection="1">
      <alignment horizontal="left" vertical="center"/>
      <protection hidden="1"/>
    </xf>
    <xf numFmtId="0" fontId="75" fillId="5" borderId="77" xfId="0" applyFont="1" applyFill="1" applyBorder="1" applyAlignment="1" applyProtection="1">
      <alignment horizontal="left" vertical="center"/>
      <protection hidden="1"/>
    </xf>
    <xf numFmtId="0" fontId="75" fillId="5" borderId="78" xfId="0" applyFont="1" applyFill="1" applyBorder="1" applyAlignment="1" applyProtection="1">
      <alignment horizontal="left" vertical="center"/>
      <protection hidden="1"/>
    </xf>
    <xf numFmtId="0" fontId="28" fillId="5" borderId="67" xfId="0" applyFont="1" applyFill="1" applyBorder="1" applyAlignment="1" applyProtection="1">
      <alignment horizontal="left" vertical="center"/>
      <protection hidden="1"/>
    </xf>
    <xf numFmtId="0" fontId="28" fillId="5" borderId="69" xfId="0" applyFont="1" applyFill="1" applyBorder="1" applyAlignment="1" applyProtection="1">
      <alignment horizontal="left" vertical="center"/>
      <protection hidden="1"/>
    </xf>
    <xf numFmtId="0" fontId="75" fillId="5" borderId="83" xfId="0" applyFont="1" applyFill="1" applyBorder="1" applyAlignment="1" applyProtection="1">
      <alignment horizontal="left" vertical="center"/>
      <protection hidden="1"/>
    </xf>
    <xf numFmtId="0" fontId="75" fillId="5" borderId="84" xfId="0" applyFont="1" applyFill="1" applyBorder="1" applyAlignment="1" applyProtection="1">
      <alignment horizontal="left" vertical="center"/>
      <protection hidden="1"/>
    </xf>
    <xf numFmtId="0" fontId="75" fillId="5" borderId="85" xfId="0" applyFont="1" applyFill="1" applyBorder="1" applyAlignment="1" applyProtection="1">
      <alignment horizontal="left" vertical="center"/>
      <protection hidden="1"/>
    </xf>
    <xf numFmtId="0" fontId="27" fillId="3" borderId="16" xfId="0" applyFont="1" applyFill="1" applyBorder="1" applyAlignment="1" applyProtection="1">
      <alignment horizontal="center" vertical="center"/>
      <protection hidden="1"/>
    </xf>
    <xf numFmtId="0" fontId="27" fillId="3" borderId="12" xfId="0" applyFont="1" applyFill="1" applyBorder="1" applyAlignment="1" applyProtection="1">
      <alignment horizontal="center" vertical="center"/>
      <protection hidden="1"/>
    </xf>
    <xf numFmtId="0" fontId="61" fillId="6" borderId="15" xfId="0" applyFont="1" applyFill="1" applyBorder="1" applyAlignment="1" applyProtection="1">
      <alignment horizontal="center" vertical="center"/>
      <protection hidden="1"/>
    </xf>
    <xf numFmtId="0" fontId="61" fillId="6" borderId="19" xfId="0" applyFont="1" applyFill="1" applyBorder="1" applyAlignment="1" applyProtection="1">
      <alignment horizontal="center" vertical="center"/>
      <protection hidden="1"/>
    </xf>
    <xf numFmtId="0" fontId="61" fillId="6" borderId="14" xfId="0" applyFont="1" applyFill="1" applyBorder="1" applyAlignment="1" applyProtection="1">
      <alignment horizontal="center" vertical="center"/>
      <protection hidden="1"/>
    </xf>
    <xf numFmtId="0" fontId="61" fillId="6" borderId="9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textRotation="90"/>
      <protection hidden="1"/>
    </xf>
    <xf numFmtId="0" fontId="16" fillId="5" borderId="0" xfId="0" applyFont="1" applyFill="1" applyBorder="1" applyAlignment="1" applyProtection="1">
      <alignment horizontal="center" textRotation="90"/>
      <protection hidden="1"/>
    </xf>
    <xf numFmtId="0" fontId="25" fillId="9" borderId="1" xfId="0" applyFont="1" applyFill="1" applyBorder="1" applyAlignment="1" applyProtection="1">
      <alignment horizontal="center"/>
      <protection hidden="1"/>
    </xf>
    <xf numFmtId="0" fontId="25" fillId="9" borderId="5" xfId="0" applyFont="1" applyFill="1" applyBorder="1" applyAlignment="1" applyProtection="1">
      <alignment horizontal="center"/>
      <protection hidden="1"/>
    </xf>
    <xf numFmtId="0" fontId="28" fillId="5" borderId="83" xfId="0" applyFont="1" applyFill="1" applyBorder="1" applyAlignment="1" applyProtection="1">
      <alignment horizontal="left" vertical="center"/>
      <protection hidden="1"/>
    </xf>
    <xf numFmtId="0" fontId="28" fillId="5" borderId="85" xfId="0" applyFont="1" applyFill="1" applyBorder="1" applyAlignment="1" applyProtection="1">
      <alignment horizontal="left" vertical="center"/>
      <protection hidden="1"/>
    </xf>
    <xf numFmtId="0" fontId="36" fillId="9" borderId="2" xfId="0" applyFont="1" applyFill="1" applyBorder="1" applyAlignment="1" applyProtection="1">
      <alignment horizontal="center" vertical="center"/>
      <protection hidden="1"/>
    </xf>
    <xf numFmtId="0" fontId="20" fillId="6" borderId="2" xfId="0" applyFont="1" applyFill="1" applyBorder="1" applyAlignment="1" applyProtection="1">
      <alignment horizontal="center" vertical="center" wrapText="1"/>
      <protection hidden="1"/>
    </xf>
    <xf numFmtId="0" fontId="62" fillId="6" borderId="2" xfId="0" applyFont="1" applyFill="1" applyBorder="1" applyAlignment="1" applyProtection="1">
      <alignment horizontal="center" vertical="center"/>
      <protection hidden="1"/>
    </xf>
    <xf numFmtId="0" fontId="86" fillId="0" borderId="0" xfId="0" applyFont="1" applyFill="1" applyBorder="1" applyAlignment="1" applyProtection="1">
      <alignment horizontal="center" vertical="center"/>
      <protection hidden="1"/>
    </xf>
    <xf numFmtId="0" fontId="87" fillId="0" borderId="0" xfId="0" applyFont="1" applyFill="1" applyBorder="1" applyAlignment="1" applyProtection="1">
      <alignment horizontal="center" vertical="center"/>
      <protection hidden="1"/>
    </xf>
    <xf numFmtId="0" fontId="79" fillId="36" borderId="0" xfId="0" applyFont="1" applyFill="1" applyBorder="1" applyAlignment="1" applyProtection="1">
      <alignment horizontal="center"/>
      <protection hidden="1"/>
    </xf>
    <xf numFmtId="0" fontId="79" fillId="36" borderId="131" xfId="0" applyFont="1" applyFill="1" applyBorder="1" applyAlignment="1" applyProtection="1">
      <alignment horizontal="center"/>
      <protection hidden="1"/>
    </xf>
    <xf numFmtId="0" fontId="18" fillId="5" borderId="0" xfId="0" applyFont="1" applyFill="1" applyBorder="1" applyAlignment="1" applyProtection="1">
      <alignment horizontal="center"/>
      <protection hidden="1"/>
    </xf>
    <xf numFmtId="0" fontId="16" fillId="5" borderId="0" xfId="0" applyFont="1" applyFill="1" applyBorder="1" applyAlignment="1" applyProtection="1">
      <alignment horizontal="center"/>
      <protection hidden="1"/>
    </xf>
    <xf numFmtId="0" fontId="19" fillId="3" borderId="12" xfId="0" applyFont="1" applyFill="1" applyBorder="1" applyAlignment="1" applyProtection="1">
      <alignment horizontal="right" vertical="center"/>
      <protection hidden="1"/>
    </xf>
    <xf numFmtId="0" fontId="46" fillId="3" borderId="12" xfId="1" applyNumberFormat="1" applyFont="1" applyFill="1" applyBorder="1" applyAlignment="1" applyProtection="1">
      <alignment horizontal="left"/>
      <protection hidden="1"/>
    </xf>
    <xf numFmtId="0" fontId="16" fillId="9" borderId="1" xfId="0" applyFont="1" applyFill="1" applyBorder="1" applyAlignment="1" applyProtection="1">
      <alignment horizontal="center" vertical="center"/>
      <protection hidden="1"/>
    </xf>
    <xf numFmtId="0" fontId="16" fillId="9" borderId="5" xfId="0" applyFont="1" applyFill="1" applyBorder="1" applyAlignment="1" applyProtection="1">
      <alignment horizontal="center" vertical="center"/>
      <protection hidden="1"/>
    </xf>
    <xf numFmtId="0" fontId="16" fillId="9" borderId="6" xfId="0" applyFont="1" applyFill="1" applyBorder="1" applyAlignment="1" applyProtection="1">
      <alignment horizontal="center" vertical="center"/>
      <protection hidden="1"/>
    </xf>
    <xf numFmtId="0" fontId="16" fillId="9" borderId="3" xfId="0" applyFont="1" applyFill="1" applyBorder="1" applyAlignment="1" applyProtection="1">
      <alignment horizontal="center" textRotation="90" wrapText="1"/>
      <protection hidden="1"/>
    </xf>
    <xf numFmtId="0" fontId="16" fillId="9" borderId="4" xfId="0" applyFont="1" applyFill="1" applyBorder="1" applyAlignment="1" applyProtection="1">
      <alignment horizontal="center" textRotation="90" wrapText="1"/>
      <protection hidden="1"/>
    </xf>
    <xf numFmtId="0" fontId="16" fillId="9" borderId="8" xfId="0" applyFont="1" applyFill="1" applyBorder="1" applyAlignment="1" applyProtection="1">
      <alignment horizontal="center" textRotation="90" wrapText="1"/>
      <protection hidden="1"/>
    </xf>
    <xf numFmtId="0" fontId="16" fillId="36" borderId="3" xfId="0" applyFont="1" applyFill="1" applyBorder="1" applyAlignment="1" applyProtection="1">
      <alignment horizontal="center" textRotation="90" wrapText="1"/>
      <protection hidden="1"/>
    </xf>
    <xf numFmtId="0" fontId="16" fillId="36" borderId="4" xfId="0" applyFont="1" applyFill="1" applyBorder="1" applyAlignment="1" applyProtection="1">
      <alignment horizontal="center" textRotation="90"/>
      <protection hidden="1"/>
    </xf>
    <xf numFmtId="0" fontId="16" fillId="36" borderId="8" xfId="0" applyFont="1" applyFill="1" applyBorder="1" applyAlignment="1" applyProtection="1">
      <alignment horizontal="center" textRotation="90"/>
      <protection hidden="1"/>
    </xf>
    <xf numFmtId="0" fontId="62" fillId="12" borderId="1" xfId="0" applyFont="1" applyFill="1" applyBorder="1" applyAlignment="1" applyProtection="1">
      <alignment horizontal="center" vertical="center"/>
      <protection hidden="1"/>
    </xf>
    <xf numFmtId="0" fontId="62" fillId="12" borderId="6" xfId="0" applyFont="1" applyFill="1" applyBorder="1" applyAlignment="1" applyProtection="1">
      <alignment horizontal="center" vertical="center"/>
      <protection hidden="1"/>
    </xf>
    <xf numFmtId="0" fontId="16" fillId="36" borderId="36" xfId="0" applyFont="1" applyFill="1" applyBorder="1" applyAlignment="1" applyProtection="1">
      <alignment horizontal="center" textRotation="90"/>
      <protection hidden="1"/>
    </xf>
    <xf numFmtId="0" fontId="16" fillId="36" borderId="37" xfId="0" applyFont="1" applyFill="1" applyBorder="1" applyAlignment="1" applyProtection="1">
      <alignment horizontal="center" textRotation="90"/>
      <protection hidden="1"/>
    </xf>
    <xf numFmtId="0" fontId="16" fillId="36" borderId="38" xfId="0" applyFont="1" applyFill="1" applyBorder="1" applyAlignment="1" applyProtection="1">
      <alignment horizontal="center" textRotation="90"/>
      <protection hidden="1"/>
    </xf>
    <xf numFmtId="0" fontId="19" fillId="9" borderId="3" xfId="0" applyFont="1" applyFill="1" applyBorder="1" applyAlignment="1" applyProtection="1">
      <alignment horizontal="center" textRotation="90" wrapText="1"/>
      <protection hidden="1"/>
    </xf>
    <xf numFmtId="0" fontId="19" fillId="9" borderId="4" xfId="0" applyFont="1" applyFill="1" applyBorder="1" applyAlignment="1" applyProtection="1">
      <alignment horizontal="center" textRotation="90"/>
      <protection hidden="1"/>
    </xf>
    <xf numFmtId="0" fontId="19" fillId="9" borderId="8" xfId="0" applyFont="1" applyFill="1" applyBorder="1" applyAlignment="1" applyProtection="1">
      <alignment horizontal="center" textRotation="90"/>
      <protection hidden="1"/>
    </xf>
    <xf numFmtId="0" fontId="16" fillId="36" borderId="39" xfId="0" applyFont="1" applyFill="1" applyBorder="1" applyAlignment="1" applyProtection="1">
      <alignment horizontal="center" textRotation="90"/>
      <protection hidden="1"/>
    </xf>
    <xf numFmtId="0" fontId="16" fillId="36" borderId="40" xfId="0" applyFont="1" applyFill="1" applyBorder="1" applyAlignment="1" applyProtection="1">
      <alignment horizontal="center" textRotation="90"/>
      <protection hidden="1"/>
    </xf>
    <xf numFmtId="0" fontId="16" fillId="36" borderId="41" xfId="0" applyFont="1" applyFill="1" applyBorder="1" applyAlignment="1" applyProtection="1">
      <alignment horizontal="center" textRotation="90"/>
      <protection hidden="1"/>
    </xf>
    <xf numFmtId="0" fontId="66" fillId="5" borderId="43" xfId="0" applyFont="1" applyFill="1" applyBorder="1" applyAlignment="1" applyProtection="1">
      <alignment horizontal="left" vertical="center"/>
      <protection hidden="1"/>
    </xf>
    <xf numFmtId="0" fontId="66" fillId="5" borderId="46" xfId="0" applyFont="1" applyFill="1" applyBorder="1" applyAlignment="1" applyProtection="1">
      <alignment horizontal="left" vertical="center"/>
      <protection hidden="1"/>
    </xf>
    <xf numFmtId="0" fontId="66" fillId="5" borderId="47" xfId="0" applyFont="1" applyFill="1" applyBorder="1" applyAlignment="1" applyProtection="1">
      <alignment horizontal="left" vertical="center"/>
      <protection hidden="1"/>
    </xf>
    <xf numFmtId="0" fontId="66" fillId="5" borderId="29" xfId="0" applyFont="1" applyFill="1" applyBorder="1" applyAlignment="1" applyProtection="1">
      <alignment horizontal="left" vertical="center"/>
      <protection hidden="1"/>
    </xf>
    <xf numFmtId="0" fontId="66" fillId="5" borderId="42" xfId="0" applyFont="1" applyFill="1" applyBorder="1" applyAlignment="1" applyProtection="1">
      <alignment horizontal="left" vertical="center"/>
      <protection hidden="1"/>
    </xf>
    <xf numFmtId="0" fontId="66" fillId="5" borderId="30" xfId="0" applyFont="1" applyFill="1" applyBorder="1" applyAlignment="1" applyProtection="1">
      <alignment horizontal="left" vertical="center"/>
      <protection hidden="1"/>
    </xf>
    <xf numFmtId="0" fontId="66" fillId="5" borderId="49" xfId="0" applyFont="1" applyFill="1" applyBorder="1" applyAlignment="1" applyProtection="1">
      <alignment horizontal="left" vertical="center"/>
      <protection hidden="1"/>
    </xf>
    <xf numFmtId="0" fontId="66" fillId="5" borderId="50" xfId="0" applyFont="1" applyFill="1" applyBorder="1" applyAlignment="1" applyProtection="1">
      <alignment horizontal="left" vertical="center"/>
      <protection hidden="1"/>
    </xf>
    <xf numFmtId="0" fontId="66" fillId="5" borderId="51" xfId="0" applyFont="1" applyFill="1" applyBorder="1" applyAlignment="1" applyProtection="1">
      <alignment horizontal="left" vertical="center"/>
      <protection hidden="1"/>
    </xf>
    <xf numFmtId="0" fontId="16" fillId="9" borderId="22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left"/>
      <protection hidden="1"/>
    </xf>
    <xf numFmtId="0" fontId="87" fillId="9" borderId="46" xfId="0" applyFont="1" applyFill="1" applyBorder="1" applyAlignment="1" applyProtection="1">
      <alignment horizontal="center" vertical="center" wrapText="1"/>
      <protection hidden="1"/>
    </xf>
    <xf numFmtId="0" fontId="62" fillId="9" borderId="62" xfId="0" applyFont="1" applyFill="1" applyBorder="1" applyAlignment="1" applyProtection="1">
      <alignment horizontal="left" vertical="center"/>
      <protection hidden="1"/>
    </xf>
    <xf numFmtId="0" fontId="62" fillId="9" borderId="120" xfId="0" applyFont="1" applyFill="1" applyBorder="1" applyAlignment="1" applyProtection="1">
      <alignment horizontal="left" vertical="center"/>
      <protection hidden="1"/>
    </xf>
    <xf numFmtId="0" fontId="20" fillId="7" borderId="1" xfId="0" applyFont="1" applyFill="1" applyBorder="1" applyAlignment="1" applyProtection="1">
      <alignment horizontal="center" vertical="center"/>
      <protection locked="0"/>
    </xf>
    <xf numFmtId="0" fontId="20" fillId="7" borderId="5" xfId="0" applyFont="1" applyFill="1" applyBorder="1" applyAlignment="1" applyProtection="1">
      <alignment horizontal="center" vertical="center"/>
      <protection locked="0"/>
    </xf>
    <xf numFmtId="0" fontId="20" fillId="7" borderId="6" xfId="0" applyFont="1" applyFill="1" applyBorder="1" applyAlignment="1" applyProtection="1">
      <alignment horizontal="center" vertical="center"/>
      <protection locked="0"/>
    </xf>
    <xf numFmtId="0" fontId="67" fillId="5" borderId="43" xfId="0" applyFont="1" applyFill="1" applyBorder="1" applyAlignment="1" applyProtection="1">
      <alignment horizontal="left" vertical="center"/>
      <protection hidden="1"/>
    </xf>
    <xf numFmtId="0" fontId="67" fillId="5" borderId="46" xfId="0" applyFont="1" applyFill="1" applyBorder="1" applyAlignment="1" applyProtection="1">
      <alignment horizontal="left" vertical="center"/>
      <protection hidden="1"/>
    </xf>
    <xf numFmtId="0" fontId="67" fillId="5" borderId="47" xfId="0" applyFont="1" applyFill="1" applyBorder="1" applyAlignment="1" applyProtection="1">
      <alignment horizontal="left" vertical="center"/>
      <protection hidden="1"/>
    </xf>
    <xf numFmtId="0" fontId="67" fillId="5" borderId="49" xfId="0" applyFont="1" applyFill="1" applyBorder="1" applyAlignment="1" applyProtection="1">
      <alignment horizontal="left" vertical="center"/>
      <protection hidden="1"/>
    </xf>
    <xf numFmtId="0" fontId="67" fillId="5" borderId="50" xfId="0" applyFont="1" applyFill="1" applyBorder="1" applyAlignment="1" applyProtection="1">
      <alignment horizontal="left" vertical="center"/>
      <protection hidden="1"/>
    </xf>
    <xf numFmtId="0" fontId="67" fillId="5" borderId="51" xfId="0" applyFont="1" applyFill="1" applyBorder="1" applyAlignment="1" applyProtection="1">
      <alignment horizontal="left" vertical="center"/>
      <protection hidden="1"/>
    </xf>
    <xf numFmtId="0" fontId="67" fillId="5" borderId="29" xfId="0" applyFont="1" applyFill="1" applyBorder="1" applyAlignment="1" applyProtection="1">
      <alignment horizontal="left" vertical="center"/>
      <protection hidden="1"/>
    </xf>
    <xf numFmtId="0" fontId="67" fillId="5" borderId="42" xfId="0" applyFont="1" applyFill="1" applyBorder="1" applyAlignment="1" applyProtection="1">
      <alignment horizontal="left" vertical="center"/>
      <protection hidden="1"/>
    </xf>
    <xf numFmtId="0" fontId="67" fillId="5" borderId="30" xfId="0" applyFont="1" applyFill="1" applyBorder="1" applyAlignment="1" applyProtection="1">
      <alignment horizontal="left" vertical="center"/>
      <protection hidden="1"/>
    </xf>
    <xf numFmtId="0" fontId="33" fillId="4" borderId="1" xfId="0" applyFont="1" applyFill="1" applyBorder="1" applyAlignment="1" applyProtection="1">
      <alignment horizontal="center" vertical="center"/>
      <protection hidden="1"/>
    </xf>
    <xf numFmtId="0" fontId="33" fillId="4" borderId="5" xfId="0" applyFont="1" applyFill="1" applyBorder="1" applyAlignment="1" applyProtection="1">
      <alignment horizontal="center" vertical="center"/>
      <protection hidden="1"/>
    </xf>
    <xf numFmtId="0" fontId="33" fillId="4" borderId="6" xfId="0" applyFont="1" applyFill="1" applyBorder="1" applyAlignment="1" applyProtection="1">
      <alignment horizontal="center" vertical="center"/>
      <protection hidden="1"/>
    </xf>
    <xf numFmtId="0" fontId="43" fillId="15" borderId="33" xfId="0" applyFont="1" applyFill="1" applyBorder="1" applyAlignment="1" applyProtection="1">
      <alignment horizontal="center" textRotation="90" wrapText="1"/>
      <protection locked="0"/>
    </xf>
    <xf numFmtId="0" fontId="43" fillId="15" borderId="34" xfId="0" applyFont="1" applyFill="1" applyBorder="1" applyAlignment="1" applyProtection="1">
      <alignment horizontal="center" textRotation="90" wrapText="1"/>
      <protection locked="0"/>
    </xf>
    <xf numFmtId="0" fontId="43" fillId="15" borderId="35" xfId="0" applyFont="1" applyFill="1" applyBorder="1" applyAlignment="1" applyProtection="1">
      <alignment horizontal="center" textRotation="90" wrapText="1"/>
      <protection locked="0"/>
    </xf>
    <xf numFmtId="0" fontId="43" fillId="15" borderId="23" xfId="0" applyFont="1" applyFill="1" applyBorder="1" applyAlignment="1" applyProtection="1">
      <alignment horizontal="center" textRotation="90" wrapText="1"/>
      <protection locked="0"/>
    </xf>
    <xf numFmtId="0" fontId="43" fillId="15" borderId="31" xfId="0" applyFont="1" applyFill="1" applyBorder="1" applyAlignment="1" applyProtection="1">
      <alignment horizontal="center" textRotation="90" wrapText="1"/>
      <protection locked="0"/>
    </xf>
    <xf numFmtId="0" fontId="43" fillId="15" borderId="32" xfId="0" applyFont="1" applyFill="1" applyBorder="1" applyAlignment="1" applyProtection="1">
      <alignment horizontal="center" textRotation="90" wrapText="1"/>
      <protection locked="0"/>
    </xf>
    <xf numFmtId="0" fontId="33" fillId="15" borderId="17" xfId="0" applyFont="1" applyFill="1" applyBorder="1" applyAlignment="1" applyProtection="1">
      <alignment horizontal="center" textRotation="90" wrapText="1"/>
    </xf>
    <xf numFmtId="0" fontId="33" fillId="15" borderId="11" xfId="0" applyFont="1" applyFill="1" applyBorder="1" applyAlignment="1" applyProtection="1">
      <alignment horizontal="center" textRotation="90" wrapText="1"/>
    </xf>
    <xf numFmtId="0" fontId="33" fillId="15" borderId="20" xfId="0" applyFont="1" applyFill="1" applyBorder="1" applyAlignment="1" applyProtection="1">
      <alignment horizontal="center" textRotation="90" wrapText="1"/>
    </xf>
    <xf numFmtId="0" fontId="34" fillId="4" borderId="4" xfId="0" applyFont="1" applyFill="1" applyBorder="1" applyAlignment="1" applyProtection="1">
      <alignment horizontal="center" textRotation="90" wrapText="1"/>
      <protection hidden="1"/>
    </xf>
    <xf numFmtId="0" fontId="34" fillId="4" borderId="8" xfId="0" applyFont="1" applyFill="1" applyBorder="1" applyAlignment="1" applyProtection="1">
      <alignment horizontal="center" textRotation="90" wrapText="1"/>
      <protection hidden="1"/>
    </xf>
    <xf numFmtId="0" fontId="43" fillId="15" borderId="17" xfId="0" applyFont="1" applyFill="1" applyBorder="1" applyAlignment="1" applyProtection="1">
      <alignment horizontal="center" textRotation="90" wrapText="1"/>
      <protection locked="0"/>
    </xf>
    <xf numFmtId="0" fontId="43" fillId="15" borderId="11" xfId="0" applyFont="1" applyFill="1" applyBorder="1" applyAlignment="1" applyProtection="1">
      <alignment horizontal="center" textRotation="90" wrapText="1"/>
      <protection locked="0"/>
    </xf>
    <xf numFmtId="0" fontId="43" fillId="15" borderId="20" xfId="0" applyFont="1" applyFill="1" applyBorder="1" applyAlignment="1" applyProtection="1">
      <alignment horizontal="center" textRotation="90" wrapText="1"/>
      <protection locked="0"/>
    </xf>
    <xf numFmtId="0" fontId="33" fillId="15" borderId="23" xfId="0" applyFont="1" applyFill="1" applyBorder="1" applyAlignment="1" applyProtection="1">
      <alignment horizontal="center" textRotation="90" wrapText="1"/>
      <protection locked="0"/>
    </xf>
    <xf numFmtId="0" fontId="33" fillId="15" borderId="31" xfId="0" applyFont="1" applyFill="1" applyBorder="1" applyAlignment="1" applyProtection="1">
      <alignment horizontal="center" textRotation="90" wrapText="1"/>
      <protection locked="0"/>
    </xf>
    <xf numFmtId="0" fontId="33" fillId="15" borderId="32" xfId="0" applyFont="1" applyFill="1" applyBorder="1" applyAlignment="1" applyProtection="1">
      <alignment horizontal="center" textRotation="90" wrapText="1"/>
      <protection locked="0"/>
    </xf>
    <xf numFmtId="0" fontId="44" fillId="0" borderId="29" xfId="0" applyFont="1" applyFill="1" applyBorder="1" applyAlignment="1" applyProtection="1">
      <alignment horizontal="center" vertical="center"/>
      <protection hidden="1"/>
    </xf>
    <xf numFmtId="0" fontId="44" fillId="0" borderId="42" xfId="0" applyFont="1" applyFill="1" applyBorder="1" applyAlignment="1" applyProtection="1">
      <alignment horizontal="center" vertical="center"/>
      <protection hidden="1"/>
    </xf>
    <xf numFmtId="0" fontId="44" fillId="0" borderId="30" xfId="0" applyFont="1" applyFill="1" applyBorder="1" applyAlignment="1" applyProtection="1">
      <alignment horizontal="center" vertical="center"/>
      <protection hidden="1"/>
    </xf>
    <xf numFmtId="0" fontId="24" fillId="0" borderId="0" xfId="0" applyFont="1" applyFill="1" applyBorder="1" applyAlignment="1" applyProtection="1">
      <alignment horizontal="center"/>
      <protection hidden="1"/>
    </xf>
    <xf numFmtId="0" fontId="34" fillId="4" borderId="14" xfId="0" applyFont="1" applyFill="1" applyBorder="1" applyAlignment="1" applyProtection="1">
      <alignment horizontal="center" vertical="center"/>
      <protection hidden="1"/>
    </xf>
    <xf numFmtId="0" fontId="34" fillId="4" borderId="12" xfId="0" applyFont="1" applyFill="1" applyBorder="1" applyAlignment="1" applyProtection="1">
      <alignment horizontal="center" vertical="center"/>
      <protection hidden="1"/>
    </xf>
    <xf numFmtId="0" fontId="34" fillId="4" borderId="9" xfId="0" applyFont="1" applyFill="1" applyBorder="1" applyAlignment="1" applyProtection="1">
      <alignment horizontal="center" vertical="center"/>
      <protection hidden="1"/>
    </xf>
    <xf numFmtId="0" fontId="25" fillId="31" borderId="117" xfId="0" applyFont="1" applyFill="1" applyBorder="1" applyAlignment="1" applyProtection="1">
      <alignment horizontal="center" vertical="center" wrapText="1"/>
      <protection hidden="1"/>
    </xf>
    <xf numFmtId="0" fontId="25" fillId="31" borderId="118" xfId="0" applyFont="1" applyFill="1" applyBorder="1" applyAlignment="1" applyProtection="1">
      <alignment horizontal="center" vertical="center" wrapText="1"/>
      <protection hidden="1"/>
    </xf>
    <xf numFmtId="0" fontId="25" fillId="31" borderId="119" xfId="0" applyFont="1" applyFill="1" applyBorder="1" applyAlignment="1" applyProtection="1">
      <alignment horizontal="center" vertical="center" wrapText="1"/>
      <protection hidden="1"/>
    </xf>
    <xf numFmtId="0" fontId="25" fillId="31" borderId="120" xfId="0" applyFont="1" applyFill="1" applyBorder="1" applyAlignment="1" applyProtection="1">
      <alignment horizontal="center" vertical="center" wrapText="1"/>
      <protection hidden="1"/>
    </xf>
    <xf numFmtId="0" fontId="25" fillId="8" borderId="22" xfId="0" applyFont="1" applyFill="1" applyBorder="1" applyAlignment="1" applyProtection="1">
      <alignment horizontal="center" vertical="center"/>
      <protection hidden="1"/>
    </xf>
    <xf numFmtId="0" fontId="25" fillId="6" borderId="22" xfId="0" applyFont="1" applyFill="1" applyBorder="1" applyAlignment="1" applyProtection="1">
      <alignment horizontal="center" vertical="center"/>
      <protection hidden="1"/>
    </xf>
    <xf numFmtId="0" fontId="16" fillId="12" borderId="22" xfId="0" applyFont="1" applyFill="1" applyBorder="1" applyAlignment="1" applyProtection="1">
      <alignment horizontal="center" vertical="center"/>
      <protection hidden="1"/>
    </xf>
    <xf numFmtId="0" fontId="25" fillId="30" borderId="22" xfId="0" applyFont="1" applyFill="1" applyBorder="1" applyAlignment="1" applyProtection="1">
      <alignment horizontal="center" vertical="center"/>
      <protection hidden="1"/>
    </xf>
    <xf numFmtId="0" fontId="25" fillId="3" borderId="22" xfId="0" applyFont="1" applyFill="1" applyBorder="1" applyAlignment="1" applyProtection="1">
      <alignment horizontal="center" vertical="center"/>
      <protection hidden="1"/>
    </xf>
    <xf numFmtId="0" fontId="80" fillId="3" borderId="0" xfId="0" applyFont="1" applyFill="1" applyBorder="1" applyAlignment="1" applyProtection="1">
      <alignment horizontal="center" vertical="center"/>
      <protection hidden="1"/>
    </xf>
    <xf numFmtId="0" fontId="26" fillId="3" borderId="0" xfId="0" applyFont="1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34" fillId="35" borderId="3" xfId="0" applyFont="1" applyFill="1" applyBorder="1" applyAlignment="1" applyProtection="1">
      <alignment horizontal="center" textRotation="90"/>
      <protection hidden="1"/>
    </xf>
    <xf numFmtId="0" fontId="34" fillId="35" borderId="4" xfId="0" applyFont="1" applyFill="1" applyBorder="1" applyAlignment="1" applyProtection="1">
      <alignment horizontal="center" textRotation="90"/>
      <protection hidden="1"/>
    </xf>
    <xf numFmtId="0" fontId="34" fillId="35" borderId="8" xfId="0" applyFont="1" applyFill="1" applyBorder="1" applyAlignment="1" applyProtection="1">
      <alignment horizontal="center" textRotation="90"/>
      <protection hidden="1"/>
    </xf>
    <xf numFmtId="0" fontId="16" fillId="3" borderId="0" xfId="0" applyFont="1" applyFill="1" applyBorder="1" applyAlignment="1" applyProtection="1">
      <alignment horizontal="center" textRotation="90"/>
      <protection hidden="1"/>
    </xf>
    <xf numFmtId="0" fontId="16" fillId="3" borderId="140" xfId="0" applyFont="1" applyFill="1" applyBorder="1" applyAlignment="1" applyProtection="1">
      <alignment horizontal="center" textRotation="90"/>
      <protection hidden="1"/>
    </xf>
    <xf numFmtId="0" fontId="16" fillId="3" borderId="31" xfId="0" applyFont="1" applyFill="1" applyBorder="1" applyAlignment="1" applyProtection="1">
      <alignment horizontal="center" textRotation="90"/>
      <protection hidden="1"/>
    </xf>
    <xf numFmtId="0" fontId="16" fillId="3" borderId="141" xfId="0" applyFont="1" applyFill="1" applyBorder="1" applyAlignment="1" applyProtection="1">
      <alignment horizontal="center" textRotation="90"/>
      <protection hidden="1"/>
    </xf>
    <xf numFmtId="0" fontId="16" fillId="3" borderId="22" xfId="0" applyFont="1" applyFill="1" applyBorder="1" applyAlignment="1" applyProtection="1">
      <alignment horizontal="center" textRotation="90"/>
      <protection hidden="1"/>
    </xf>
    <xf numFmtId="0" fontId="16" fillId="3" borderId="62" xfId="0" applyFont="1" applyFill="1" applyBorder="1" applyAlignment="1" applyProtection="1">
      <alignment horizontal="center" vertical="center" wrapText="1"/>
      <protection hidden="1"/>
    </xf>
    <xf numFmtId="0" fontId="16" fillId="3" borderId="46" xfId="0" applyFont="1" applyFill="1" applyBorder="1" applyAlignment="1" applyProtection="1">
      <alignment horizontal="center" vertical="center" wrapText="1"/>
      <protection hidden="1"/>
    </xf>
    <xf numFmtId="0" fontId="16" fillId="3" borderId="135" xfId="0" applyFont="1" applyFill="1" applyBorder="1" applyAlignment="1" applyProtection="1">
      <alignment horizontal="center" vertical="center" wrapText="1"/>
      <protection hidden="1"/>
    </xf>
    <xf numFmtId="0" fontId="33" fillId="14" borderId="3" xfId="0" applyFont="1" applyFill="1" applyBorder="1" applyAlignment="1" applyProtection="1">
      <alignment horizontal="center" textRotation="90" wrapText="1"/>
      <protection hidden="1"/>
    </xf>
    <xf numFmtId="0" fontId="33" fillId="14" borderId="4" xfId="0" applyFont="1" applyFill="1" applyBorder="1" applyAlignment="1" applyProtection="1">
      <alignment horizontal="center" textRotation="90" wrapText="1"/>
      <protection hidden="1"/>
    </xf>
    <xf numFmtId="0" fontId="33" fillId="14" borderId="8" xfId="0" applyFont="1" applyFill="1" applyBorder="1" applyAlignment="1" applyProtection="1">
      <alignment horizontal="center" textRotation="90" wrapText="1"/>
      <protection hidden="1"/>
    </xf>
    <xf numFmtId="0" fontId="33" fillId="14" borderId="15" xfId="0" applyFont="1" applyFill="1" applyBorder="1" applyAlignment="1" applyProtection="1">
      <alignment horizontal="center" textRotation="90" wrapText="1"/>
      <protection hidden="1"/>
    </xf>
    <xf numFmtId="0" fontId="33" fillId="14" borderId="13" xfId="0" applyFont="1" applyFill="1" applyBorder="1" applyAlignment="1" applyProtection="1">
      <alignment horizontal="center" textRotation="90" wrapText="1"/>
      <protection hidden="1"/>
    </xf>
    <xf numFmtId="0" fontId="33" fillId="14" borderId="14" xfId="0" applyFont="1" applyFill="1" applyBorder="1" applyAlignment="1" applyProtection="1">
      <alignment horizontal="center" textRotation="90" wrapText="1"/>
      <protection hidden="1"/>
    </xf>
    <xf numFmtId="0" fontId="43" fillId="15" borderId="18" xfId="0" applyFont="1" applyFill="1" applyBorder="1" applyAlignment="1" applyProtection="1">
      <alignment horizontal="center" textRotation="90" wrapText="1"/>
      <protection locked="0"/>
    </xf>
    <xf numFmtId="0" fontId="43" fillId="15" borderId="10" xfId="0" applyFont="1" applyFill="1" applyBorder="1" applyAlignment="1" applyProtection="1">
      <alignment horizontal="center" textRotation="90" wrapText="1"/>
      <protection locked="0"/>
    </xf>
    <xf numFmtId="0" fontId="43" fillId="15" borderId="21" xfId="0" applyFont="1" applyFill="1" applyBorder="1" applyAlignment="1" applyProtection="1">
      <alignment horizontal="center" textRotation="90" wrapText="1"/>
      <protection locked="0"/>
    </xf>
    <xf numFmtId="0" fontId="64" fillId="14" borderId="1" xfId="0" applyFont="1" applyFill="1" applyBorder="1" applyAlignment="1" applyProtection="1">
      <alignment horizontal="center" vertical="center" wrapText="1"/>
      <protection hidden="1"/>
    </xf>
    <xf numFmtId="0" fontId="64" fillId="14" borderId="5" xfId="0" applyFont="1" applyFill="1" applyBorder="1" applyAlignment="1" applyProtection="1">
      <alignment horizontal="center" vertical="center" wrapText="1"/>
      <protection hidden="1"/>
    </xf>
    <xf numFmtId="0" fontId="33" fillId="15" borderId="17" xfId="0" applyFont="1" applyFill="1" applyBorder="1" applyAlignment="1" applyProtection="1">
      <alignment horizontal="center" textRotation="90" wrapText="1"/>
      <protection locked="0"/>
    </xf>
    <xf numFmtId="0" fontId="33" fillId="15" borderId="11" xfId="0" applyFont="1" applyFill="1" applyBorder="1" applyAlignment="1" applyProtection="1">
      <alignment horizontal="center" textRotation="90" wrapText="1"/>
      <protection locked="0"/>
    </xf>
    <xf numFmtId="0" fontId="33" fillId="15" borderId="20" xfId="0" applyFont="1" applyFill="1" applyBorder="1" applyAlignment="1" applyProtection="1">
      <alignment horizontal="center" textRotation="90" wrapText="1"/>
      <protection locked="0"/>
    </xf>
    <xf numFmtId="0" fontId="16" fillId="36" borderId="4" xfId="0" applyFont="1" applyFill="1" applyBorder="1" applyAlignment="1" applyProtection="1">
      <alignment horizontal="center" textRotation="90" wrapText="1"/>
      <protection hidden="1"/>
    </xf>
    <xf numFmtId="0" fontId="16" fillId="36" borderId="8" xfId="0" applyFont="1" applyFill="1" applyBorder="1" applyAlignment="1" applyProtection="1">
      <alignment horizontal="center" textRotation="90" wrapText="1"/>
      <protection hidden="1"/>
    </xf>
    <xf numFmtId="0" fontId="19" fillId="9" borderId="4" xfId="0" applyFont="1" applyFill="1" applyBorder="1" applyAlignment="1" applyProtection="1">
      <alignment horizontal="center" textRotation="90" wrapText="1"/>
      <protection hidden="1"/>
    </xf>
    <xf numFmtId="0" fontId="19" fillId="9" borderId="8" xfId="0" applyFont="1" applyFill="1" applyBorder="1" applyAlignment="1" applyProtection="1">
      <alignment horizontal="center" textRotation="90" wrapText="1"/>
      <protection hidden="1"/>
    </xf>
    <xf numFmtId="0" fontId="87" fillId="9" borderId="46" xfId="0" applyFont="1" applyFill="1" applyBorder="1" applyAlignment="1" applyProtection="1">
      <alignment horizontal="center" vertical="center"/>
      <protection hidden="1"/>
    </xf>
    <xf numFmtId="0" fontId="65" fillId="3" borderId="43" xfId="0" applyFont="1" applyFill="1" applyBorder="1" applyAlignment="1" applyProtection="1">
      <alignment horizontal="left" vertical="center"/>
      <protection hidden="1"/>
    </xf>
    <xf numFmtId="0" fontId="65" fillId="3" borderId="46" xfId="0" applyFont="1" applyFill="1" applyBorder="1" applyAlignment="1" applyProtection="1">
      <alignment horizontal="left" vertical="center"/>
      <protection hidden="1"/>
    </xf>
    <xf numFmtId="0" fontId="65" fillId="3" borderId="47" xfId="0" applyFont="1" applyFill="1" applyBorder="1" applyAlignment="1" applyProtection="1">
      <alignment horizontal="left" vertical="center"/>
      <protection hidden="1"/>
    </xf>
    <xf numFmtId="0" fontId="65" fillId="5" borderId="43" xfId="0" applyFont="1" applyFill="1" applyBorder="1" applyAlignment="1" applyProtection="1">
      <alignment horizontal="left" vertical="center"/>
      <protection hidden="1"/>
    </xf>
    <xf numFmtId="0" fontId="65" fillId="5" borderId="46" xfId="0" applyFont="1" applyFill="1" applyBorder="1" applyAlignment="1" applyProtection="1">
      <alignment horizontal="left" vertical="center"/>
      <protection hidden="1"/>
    </xf>
    <xf numFmtId="0" fontId="65" fillId="5" borderId="47" xfId="0" applyFont="1" applyFill="1" applyBorder="1" applyAlignment="1" applyProtection="1">
      <alignment horizontal="left" vertical="center"/>
      <protection hidden="1"/>
    </xf>
    <xf numFmtId="0" fontId="65" fillId="5" borderId="29" xfId="0" applyFont="1" applyFill="1" applyBorder="1" applyAlignment="1" applyProtection="1">
      <alignment horizontal="left" vertical="center"/>
      <protection hidden="1"/>
    </xf>
    <xf numFmtId="0" fontId="65" fillId="5" borderId="42" xfId="0" applyFont="1" applyFill="1" applyBorder="1" applyAlignment="1" applyProtection="1">
      <alignment horizontal="left" vertical="center"/>
      <protection hidden="1"/>
    </xf>
    <xf numFmtId="0" fontId="65" fillId="5" borderId="30" xfId="0" applyFont="1" applyFill="1" applyBorder="1" applyAlignment="1" applyProtection="1">
      <alignment horizontal="left" vertical="center"/>
      <protection hidden="1"/>
    </xf>
    <xf numFmtId="0" fontId="65" fillId="3" borderId="49" xfId="0" applyFont="1" applyFill="1" applyBorder="1" applyAlignment="1" applyProtection="1">
      <alignment horizontal="left" vertical="center"/>
      <protection hidden="1"/>
    </xf>
    <xf numFmtId="0" fontId="65" fillId="3" borderId="50" xfId="0" applyFont="1" applyFill="1" applyBorder="1" applyAlignment="1" applyProtection="1">
      <alignment horizontal="left" vertical="center"/>
      <protection hidden="1"/>
    </xf>
    <xf numFmtId="0" fontId="65" fillId="3" borderId="51" xfId="0" applyFont="1" applyFill="1" applyBorder="1" applyAlignment="1" applyProtection="1">
      <alignment horizontal="left" vertical="center"/>
      <protection hidden="1"/>
    </xf>
    <xf numFmtId="0" fontId="81" fillId="3" borderId="0" xfId="0" applyFont="1" applyFill="1" applyBorder="1" applyAlignment="1" applyProtection="1">
      <alignment horizontal="center" vertical="center"/>
      <protection hidden="1"/>
    </xf>
    <xf numFmtId="0" fontId="16" fillId="3" borderId="62" xfId="0" applyFont="1" applyFill="1" applyBorder="1" applyAlignment="1" applyProtection="1">
      <alignment horizontal="center" textRotation="90"/>
      <protection hidden="1"/>
    </xf>
    <xf numFmtId="0" fontId="43" fillId="35" borderId="17" xfId="0" applyFont="1" applyFill="1" applyBorder="1" applyAlignment="1" applyProtection="1">
      <alignment horizontal="center" textRotation="90" wrapText="1"/>
      <protection locked="0"/>
    </xf>
    <xf numFmtId="0" fontId="43" fillId="35" borderId="11" xfId="0" applyFont="1" applyFill="1" applyBorder="1" applyAlignment="1" applyProtection="1">
      <alignment horizontal="center" textRotation="90" wrapText="1"/>
      <protection locked="0"/>
    </xf>
    <xf numFmtId="0" fontId="43" fillId="35" borderId="20" xfId="0" applyFont="1" applyFill="1" applyBorder="1" applyAlignment="1" applyProtection="1">
      <alignment horizontal="center" textRotation="90" wrapText="1"/>
      <protection locked="0"/>
    </xf>
    <xf numFmtId="0" fontId="16" fillId="7" borderId="118" xfId="0" applyFont="1" applyFill="1" applyBorder="1" applyAlignment="1" applyProtection="1">
      <alignment horizontal="center" textRotation="90"/>
      <protection hidden="1"/>
    </xf>
    <xf numFmtId="0" fontId="16" fillId="7" borderId="144" xfId="0" applyFont="1" applyFill="1" applyBorder="1" applyAlignment="1" applyProtection="1">
      <alignment horizontal="center" textRotation="90"/>
      <protection hidden="1"/>
    </xf>
    <xf numFmtId="0" fontId="16" fillId="7" borderId="120" xfId="0" applyFont="1" applyFill="1" applyBorder="1" applyAlignment="1" applyProtection="1">
      <alignment horizontal="center" textRotation="90"/>
      <protection hidden="1"/>
    </xf>
    <xf numFmtId="0" fontId="34" fillId="34" borderId="4" xfId="0" applyFont="1" applyFill="1" applyBorder="1" applyAlignment="1" applyProtection="1">
      <alignment horizontal="center" textRotation="90" wrapText="1"/>
      <protection hidden="1"/>
    </xf>
    <xf numFmtId="0" fontId="34" fillId="34" borderId="8" xfId="0" applyFont="1" applyFill="1" applyBorder="1" applyAlignment="1" applyProtection="1">
      <alignment horizontal="center" textRotation="90" wrapText="1"/>
      <protection hidden="1"/>
    </xf>
    <xf numFmtId="0" fontId="43" fillId="35" borderId="23" xfId="0" applyFont="1" applyFill="1" applyBorder="1" applyAlignment="1" applyProtection="1">
      <alignment horizontal="center" textRotation="90" wrapText="1"/>
      <protection locked="0"/>
    </xf>
    <xf numFmtId="0" fontId="43" fillId="35" borderId="31" xfId="0" applyFont="1" applyFill="1" applyBorder="1" applyAlignment="1" applyProtection="1">
      <alignment horizontal="center" textRotation="90" wrapText="1"/>
      <protection locked="0"/>
    </xf>
    <xf numFmtId="0" fontId="43" fillId="35" borderId="32" xfId="0" applyFont="1" applyFill="1" applyBorder="1" applyAlignment="1" applyProtection="1">
      <alignment horizontal="center" textRotation="90" wrapText="1"/>
      <protection locked="0"/>
    </xf>
    <xf numFmtId="0" fontId="84" fillId="0" borderId="0" xfId="44" applyFont="1" applyFill="1" applyAlignment="1">
      <alignment horizontal="center"/>
    </xf>
    <xf numFmtId="0" fontId="84" fillId="0" borderId="0" xfId="44" applyFont="1" applyFill="1" applyAlignment="1">
      <alignment horizontal="center" vertical="center"/>
    </xf>
    <xf numFmtId="0" fontId="4" fillId="13" borderId="22" xfId="44" applyFont="1" applyFill="1" applyBorder="1" applyAlignment="1">
      <alignment horizontal="center"/>
    </xf>
    <xf numFmtId="0" fontId="96" fillId="0" borderId="0" xfId="44" applyFont="1" applyFill="1" applyBorder="1" applyAlignment="1">
      <alignment horizontal="center" vertical="center"/>
    </xf>
    <xf numFmtId="0" fontId="69" fillId="13" borderId="22" xfId="44" applyFont="1" applyFill="1" applyBorder="1" applyAlignment="1">
      <alignment horizontal="center" vertical="center"/>
    </xf>
    <xf numFmtId="0" fontId="57" fillId="0" borderId="22" xfId="44" applyFont="1" applyFill="1" applyBorder="1" applyAlignment="1">
      <alignment horizontal="center" vertical="center"/>
    </xf>
    <xf numFmtId="0" fontId="4" fillId="0" borderId="0" xfId="44" applyFont="1" applyFill="1" applyBorder="1" applyAlignment="1">
      <alignment horizontal="center" wrapText="1"/>
    </xf>
    <xf numFmtId="0" fontId="4" fillId="0" borderId="0" xfId="44" applyFont="1" applyFill="1" applyBorder="1" applyAlignment="1">
      <alignment horizontal="center"/>
    </xf>
    <xf numFmtId="0" fontId="69" fillId="0" borderId="22" xfId="44" applyFont="1" applyFill="1" applyBorder="1" applyAlignment="1">
      <alignment horizontal="center" vertical="center"/>
    </xf>
    <xf numFmtId="0" fontId="57" fillId="0" borderId="0" xfId="44" applyFont="1" applyFill="1" applyAlignment="1">
      <alignment horizontal="center"/>
    </xf>
    <xf numFmtId="0" fontId="4" fillId="0" borderId="22" xfId="44" applyFont="1" applyFill="1" applyBorder="1" applyAlignment="1">
      <alignment horizontal="center"/>
    </xf>
  </cellXfs>
  <cellStyles count="150">
    <cellStyle name="Énfasis 1" xfId="5"/>
    <cellStyle name="Énfasis 2" xfId="6"/>
    <cellStyle name="Énfasis 3" xfId="7"/>
    <cellStyle name="Énfasis1 - 20%" xfId="8"/>
    <cellStyle name="Énfasis1 - 40%" xfId="9"/>
    <cellStyle name="Énfasis1 - 60%" xfId="10"/>
    <cellStyle name="Énfasis2 - 20%" xfId="11"/>
    <cellStyle name="Énfasis2 - 40%" xfId="12"/>
    <cellStyle name="Énfasis2 - 60%" xfId="13"/>
    <cellStyle name="Énfasis3 - 20%" xfId="14"/>
    <cellStyle name="Énfasis3 - 40%" xfId="15"/>
    <cellStyle name="Énfasis3 - 60%" xfId="16"/>
    <cellStyle name="Énfasis4 - 20%" xfId="17"/>
    <cellStyle name="Énfasis4 - 40%" xfId="18"/>
    <cellStyle name="Énfasis4 - 60%" xfId="19"/>
    <cellStyle name="Énfasis5 - 20%" xfId="20"/>
    <cellStyle name="Énfasis5 - 40%" xfId="21"/>
    <cellStyle name="Énfasis5 - 60%" xfId="22"/>
    <cellStyle name="Énfasis6 - 20%" xfId="23"/>
    <cellStyle name="Énfasis6 - 40%" xfId="24"/>
    <cellStyle name="Énfasis6 - 60%" xfId="25"/>
    <cellStyle name="Estilo 1" xfId="40"/>
    <cellStyle name="Estilo 1 2" xfId="53"/>
    <cellStyle name="Estilo 1 2 2" xfId="131"/>
    <cellStyle name="Estilo 1 2 3" xfId="93"/>
    <cellStyle name="Estilo 1 3" xfId="60"/>
    <cellStyle name="Estilo 1 3 2" xfId="138"/>
    <cellStyle name="Estilo 1 3 3" xfId="100"/>
    <cellStyle name="Estilo 1 4" xfId="118"/>
    <cellStyle name="Estilo 1 5" xfId="80"/>
    <cellStyle name="Hipervínculo" xfId="1" builtinId="8"/>
    <cellStyle name="Hipervínculo 2" xfId="4"/>
    <cellStyle name="Hipervínculo 3" xfId="149"/>
    <cellStyle name="Normal" xfId="0" builtinId="0"/>
    <cellStyle name="Normal 10" xfId="39"/>
    <cellStyle name="Normal 10 2" xfId="52"/>
    <cellStyle name="Normal 10 2 2" xfId="130"/>
    <cellStyle name="Normal 10 2 3" xfId="92"/>
    <cellStyle name="Normal 10 3" xfId="61"/>
    <cellStyle name="Normal 10 4" xfId="117"/>
    <cellStyle name="Normal 10 5" xfId="79"/>
    <cellStyle name="Normal 11" xfId="41"/>
    <cellStyle name="Normal 11 2" xfId="44"/>
    <cellStyle name="Normal 11 2 2" xfId="57"/>
    <cellStyle name="Normal 11 2 2 2" xfId="135"/>
    <cellStyle name="Normal 11 2 2 3" xfId="97"/>
    <cellStyle name="Normal 11 2 3" xfId="63"/>
    <cellStyle name="Normal 11 2 3 2" xfId="140"/>
    <cellStyle name="Normal 11 2 3 3" xfId="102"/>
    <cellStyle name="Normal 11 2 4" xfId="122"/>
    <cellStyle name="Normal 11 2 5" xfId="84"/>
    <cellStyle name="Normal 11 3" xfId="54"/>
    <cellStyle name="Normal 11 3 2" xfId="132"/>
    <cellStyle name="Normal 11 3 3" xfId="94"/>
    <cellStyle name="Normal 11 4" xfId="62"/>
    <cellStyle name="Normal 11 4 2" xfId="139"/>
    <cellStyle name="Normal 11 4 3" xfId="101"/>
    <cellStyle name="Normal 11 5" xfId="119"/>
    <cellStyle name="Normal 11 6" xfId="81"/>
    <cellStyle name="Normal 12" xfId="43"/>
    <cellStyle name="Normal 12 2" xfId="56"/>
    <cellStyle name="Normal 12 2 2" xfId="134"/>
    <cellStyle name="Normal 12 2 3" xfId="96"/>
    <cellStyle name="Normal 12 3" xfId="64"/>
    <cellStyle name="Normal 12 3 2" xfId="141"/>
    <cellStyle name="Normal 12 3 3" xfId="103"/>
    <cellStyle name="Normal 12 4" xfId="121"/>
    <cellStyle name="Normal 12 5" xfId="83"/>
    <cellStyle name="Normal 13" xfId="58"/>
    <cellStyle name="Normal 13 2" xfId="136"/>
    <cellStyle name="Normal 13 3" xfId="98"/>
    <cellStyle name="Normal 14" xfId="148"/>
    <cellStyle name="Normal 2" xfId="2"/>
    <cellStyle name="Normal 2 2" xfId="26"/>
    <cellStyle name="Normal 2 2 2" xfId="27"/>
    <cellStyle name="Normal 2 2 2 2" xfId="47"/>
    <cellStyle name="Normal 2 2 2 2 2" xfId="125"/>
    <cellStyle name="Normal 2 2 2 2 3" xfId="87"/>
    <cellStyle name="Normal 2 2 2 3" xfId="66"/>
    <cellStyle name="Normal 2 2 2 3 2" xfId="143"/>
    <cellStyle name="Normal 2 2 2 3 3" xfId="105"/>
    <cellStyle name="Normal 2 2 2 4" xfId="112"/>
    <cellStyle name="Normal 2 2 2 5" xfId="74"/>
    <cellStyle name="Normal 2 2 3" xfId="46"/>
    <cellStyle name="Normal 2 2 3 2" xfId="124"/>
    <cellStyle name="Normal 2 2 3 3" xfId="86"/>
    <cellStyle name="Normal 2 2 4" xfId="65"/>
    <cellStyle name="Normal 2 2 4 2" xfId="142"/>
    <cellStyle name="Normal 2 2 4 3" xfId="104"/>
    <cellStyle name="Normal 2 2 5" xfId="111"/>
    <cellStyle name="Normal 2 2 6" xfId="73"/>
    <cellStyle name="Normal 2 3" xfId="59"/>
    <cellStyle name="Normal 2 3 2" xfId="137"/>
    <cellStyle name="Normal 2 3 3" xfId="99"/>
    <cellStyle name="Normal 3" xfId="3"/>
    <cellStyle name="Normal 3 2" xfId="28"/>
    <cellStyle name="Normal 3 3" xfId="45"/>
    <cellStyle name="Normal 3 3 2" xfId="123"/>
    <cellStyle name="Normal 3 3 3" xfId="85"/>
    <cellStyle name="Normal 3 4" xfId="110"/>
    <cellStyle name="Normal 3 5" xfId="72"/>
    <cellStyle name="Normal 4" xfId="29"/>
    <cellStyle name="Normal 4 2" xfId="30"/>
    <cellStyle name="Normal 5" xfId="31"/>
    <cellStyle name="Normal 5 2" xfId="32"/>
    <cellStyle name="Normal 5 2 2" xfId="49"/>
    <cellStyle name="Normal 5 2 2 2" xfId="127"/>
    <cellStyle name="Normal 5 2 2 3" xfId="89"/>
    <cellStyle name="Normal 5 2 3" xfId="68"/>
    <cellStyle name="Normal 5 2 3 2" xfId="145"/>
    <cellStyle name="Normal 5 2 3 3" xfId="107"/>
    <cellStyle name="Normal 5 2 4" xfId="114"/>
    <cellStyle name="Normal 5 2 5" xfId="76"/>
    <cellStyle name="Normal 5 3" xfId="48"/>
    <cellStyle name="Normal 5 3 2" xfId="126"/>
    <cellStyle name="Normal 5 3 3" xfId="88"/>
    <cellStyle name="Normal 5 4" xfId="67"/>
    <cellStyle name="Normal 5 4 2" xfId="144"/>
    <cellStyle name="Normal 5 4 3" xfId="106"/>
    <cellStyle name="Normal 5 5" xfId="113"/>
    <cellStyle name="Normal 5 6" xfId="75"/>
    <cellStyle name="Normal 6" xfId="33"/>
    <cellStyle name="Normal 7" xfId="34"/>
    <cellStyle name="Normal 7 2" xfId="50"/>
    <cellStyle name="Normal 7 2 2" xfId="128"/>
    <cellStyle name="Normal 7 2 3" xfId="90"/>
    <cellStyle name="Normal 7 3" xfId="69"/>
    <cellStyle name="Normal 7 3 2" xfId="146"/>
    <cellStyle name="Normal 7 3 3" xfId="108"/>
    <cellStyle name="Normal 7 4" xfId="115"/>
    <cellStyle name="Normal 7 5" xfId="77"/>
    <cellStyle name="Normal 8" xfId="35"/>
    <cellStyle name="Normal 9" xfId="38"/>
    <cellStyle name="Normal 9 2" xfId="42"/>
    <cellStyle name="Normal 9 2 2" xfId="55"/>
    <cellStyle name="Normal 9 2 2 2" xfId="133"/>
    <cellStyle name="Normal 9 2 2 3" xfId="95"/>
    <cellStyle name="Normal 9 2 3" xfId="71"/>
    <cellStyle name="Normal 9 2 3 2" xfId="147"/>
    <cellStyle name="Normal 9 2 3 3" xfId="109"/>
    <cellStyle name="Normal 9 2 4" xfId="120"/>
    <cellStyle name="Normal 9 2 5" xfId="82"/>
    <cellStyle name="Normal 9 3" xfId="51"/>
    <cellStyle name="Normal 9 3 2" xfId="129"/>
    <cellStyle name="Normal 9 3 3" xfId="91"/>
    <cellStyle name="Normal 9 4" xfId="70"/>
    <cellStyle name="Normal 9 5" xfId="116"/>
    <cellStyle name="Normal 9 6" xfId="78"/>
    <cellStyle name="Porcentaje" xfId="37" builtinId="5"/>
    <cellStyle name="Título de hoja" xfId="36"/>
  </cellStyles>
  <dxfs count="53"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6"/>
      </font>
    </dxf>
    <dxf>
      <font>
        <color theme="0"/>
      </font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theme="9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rgb="FFCCECFF"/>
        </patternFill>
      </fill>
    </dxf>
    <dxf>
      <fill>
        <patternFill>
          <bgColor rgb="FFCCECFF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FF0000"/>
      </font>
    </dxf>
    <dxf>
      <fill>
        <patternFill>
          <bgColor rgb="FFB9EDFF"/>
        </patternFill>
      </fill>
    </dxf>
    <dxf>
      <fill>
        <patternFill>
          <bgColor rgb="FFB9EDFF"/>
        </patternFill>
      </fill>
    </dxf>
  </dxfs>
  <tableStyles count="0" defaultTableStyle="TableStyleMedium2" defaultPivotStyle="PivotStyleLight16"/>
  <colors>
    <mruColors>
      <color rgb="FFD99694"/>
      <color rgb="FF99CCFF"/>
      <color rgb="FFFBD4B4"/>
      <color rgb="FFCCECFF"/>
      <color rgb="FFDDDDDD"/>
      <color rgb="FF81DEFF"/>
      <color rgb="FFB9EDFF"/>
      <color rgb="FFA3E7F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cat>
            <c:strRef>
              <c:f>ESTADISTICA!$A$25:$A$27</c:f>
              <c:strCache>
                <c:ptCount val="3"/>
                <c:pt idx="0">
                  <c:v>INSCRITO </c:v>
                </c:pt>
                <c:pt idx="1">
                  <c:v>RETIRO O ABANDONO</c:v>
                </c:pt>
                <c:pt idx="2">
                  <c:v>EFECTIVO</c:v>
                </c:pt>
              </c:strCache>
            </c:strRef>
          </c:cat>
          <c:val>
            <c:numRef>
              <c:f>ESTADISTICA!$B$25:$B$27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5336448"/>
        <c:axId val="325338240"/>
        <c:axId val="0"/>
      </c:bar3DChart>
      <c:catAx>
        <c:axId val="325336448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325338240"/>
        <c:crosses val="autoZero"/>
        <c:auto val="1"/>
        <c:lblAlgn val="ctr"/>
        <c:lblOffset val="100"/>
        <c:noMultiLvlLbl val="0"/>
      </c:catAx>
      <c:valAx>
        <c:axId val="32533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32533644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ESTADISTICA!$A$13</c:f>
              <c:strCache>
                <c:ptCount val="1"/>
                <c:pt idx="0">
                  <c:v>FEMENINO</c:v>
                </c:pt>
              </c:strCache>
            </c:strRef>
          </c:tx>
          <c:invertIfNegative val="0"/>
          <c:cat>
            <c:numRef>
              <c:f>ESTADISTICA!$B$12:$K$12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cat>
          <c:val>
            <c:numRef>
              <c:f>ESTADISTICA!$B$13:$K$13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ESTADISTICA!$A$14</c:f>
              <c:strCache>
                <c:ptCount val="1"/>
                <c:pt idx="0">
                  <c:v>MASCULINO </c:v>
                </c:pt>
              </c:strCache>
            </c:strRef>
          </c:tx>
          <c:invertIfNegative val="0"/>
          <c:cat>
            <c:numRef>
              <c:f>ESTADISTICA!$B$12:$K$12</c:f>
              <c:numCache>
                <c:formatCode>General</c:formatCode>
                <c:ptCount val="10"/>
                <c:pt idx="0">
                  <c:v>11</c:v>
                </c:pt>
                <c:pt idx="1">
                  <c:v>12</c:v>
                </c:pt>
                <c:pt idx="2">
                  <c:v>13</c:v>
                </c:pt>
                <c:pt idx="3">
                  <c:v>14</c:v>
                </c:pt>
                <c:pt idx="4">
                  <c:v>15</c:v>
                </c:pt>
                <c:pt idx="5">
                  <c:v>16</c:v>
                </c:pt>
                <c:pt idx="6">
                  <c:v>17</c:v>
                </c:pt>
                <c:pt idx="7">
                  <c:v>18</c:v>
                </c:pt>
                <c:pt idx="8">
                  <c:v>19</c:v>
                </c:pt>
                <c:pt idx="9">
                  <c:v>20</c:v>
                </c:pt>
              </c:numCache>
            </c:numRef>
          </c:cat>
          <c:val>
            <c:numRef>
              <c:f>ESTADISTICA!$B$14:$K$14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25371776"/>
        <c:axId val="325373312"/>
        <c:axId val="0"/>
      </c:bar3DChart>
      <c:catAx>
        <c:axId val="325371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5373312"/>
        <c:crosses val="autoZero"/>
        <c:auto val="1"/>
        <c:lblAlgn val="ctr"/>
        <c:lblOffset val="100"/>
        <c:noMultiLvlLbl val="0"/>
      </c:catAx>
      <c:valAx>
        <c:axId val="32537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53717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ESTADISTICA!$A$13:$A$14</c:f>
              <c:strCache>
                <c:ptCount val="2"/>
                <c:pt idx="0">
                  <c:v>FEMENINO</c:v>
                </c:pt>
                <c:pt idx="1">
                  <c:v>MASCULINO </c:v>
                </c:pt>
              </c:strCache>
            </c:strRef>
          </c:cat>
          <c:val>
            <c:numRef>
              <c:f>ESTADISTICA!$L$13:$L$14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ESTADISTICA!$A$38</c:f>
              <c:strCache>
                <c:ptCount val="1"/>
                <c:pt idx="0">
                  <c:v>APROBADOS</c:v>
                </c:pt>
              </c:strCache>
            </c:strRef>
          </c:tx>
          <c:invertIfNegative val="0"/>
          <c:val>
            <c:numRef>
              <c:f>ESTADISTICA!$B$38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ESTADISTICA!$A$39</c:f>
              <c:strCache>
                <c:ptCount val="1"/>
                <c:pt idx="0">
                  <c:v>REPROBADOS</c:v>
                </c:pt>
              </c:strCache>
            </c:strRef>
          </c:tx>
          <c:invertIfNegative val="0"/>
          <c:val>
            <c:numRef>
              <c:f>ESTADISTICA!$B$39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40416768"/>
        <c:axId val="340422656"/>
        <c:axId val="0"/>
      </c:bar3DChart>
      <c:catAx>
        <c:axId val="340416768"/>
        <c:scaling>
          <c:orientation val="minMax"/>
        </c:scaling>
        <c:delete val="1"/>
        <c:axPos val="b"/>
        <c:majorTickMark val="out"/>
        <c:minorTickMark val="none"/>
        <c:tickLblPos val="nextTo"/>
        <c:crossAx val="340422656"/>
        <c:crosses val="autoZero"/>
        <c:auto val="1"/>
        <c:lblAlgn val="ctr"/>
        <c:lblOffset val="100"/>
        <c:noMultiLvlLbl val="0"/>
      </c:catAx>
      <c:valAx>
        <c:axId val="34042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0416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paperSize="9" orientation="landscape" horizontalDpi="0" verticalDpi="0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EST1!A1"/><Relationship Id="rId13" Type="http://schemas.openxmlformats.org/officeDocument/2006/relationships/hyperlink" Target="#DIFICULTADES2!A1"/><Relationship Id="rId18" Type="http://schemas.openxmlformats.org/officeDocument/2006/relationships/hyperlink" Target="#'DEST-ANUAL'!A1"/><Relationship Id="rId3" Type="http://schemas.openxmlformats.org/officeDocument/2006/relationships/hyperlink" Target="#CENTRALIZADOR2!A1"/><Relationship Id="rId7" Type="http://schemas.openxmlformats.org/officeDocument/2006/relationships/hyperlink" Target="#'1ER TRIMESTRE'!A1"/><Relationship Id="rId12" Type="http://schemas.openxmlformats.org/officeDocument/2006/relationships/hyperlink" Target="#DEST2!A1"/><Relationship Id="rId17" Type="http://schemas.openxmlformats.org/officeDocument/2006/relationships/hyperlink" Target="#DIFICULTADES3!A1"/><Relationship Id="rId2" Type="http://schemas.openxmlformats.org/officeDocument/2006/relationships/hyperlink" Target="#CENTRALIZADOR!A1"/><Relationship Id="rId16" Type="http://schemas.openxmlformats.org/officeDocument/2006/relationships/hyperlink" Target="#DEST3!A1"/><Relationship Id="rId1" Type="http://schemas.openxmlformats.org/officeDocument/2006/relationships/hyperlink" Target="#FILIACI&#211;N!A1"/><Relationship Id="rId6" Type="http://schemas.openxmlformats.org/officeDocument/2006/relationships/hyperlink" Target="#'ASISTENCIA 1'!A1"/><Relationship Id="rId11" Type="http://schemas.openxmlformats.org/officeDocument/2006/relationships/hyperlink" Target="#'2DO TRIMESTRE'!A1"/><Relationship Id="rId5" Type="http://schemas.openxmlformats.org/officeDocument/2006/relationships/image" Target="../media/image1.png"/><Relationship Id="rId15" Type="http://schemas.openxmlformats.org/officeDocument/2006/relationships/hyperlink" Target="#'3ER TRIMESTRE'!A1"/><Relationship Id="rId10" Type="http://schemas.openxmlformats.org/officeDocument/2006/relationships/hyperlink" Target="#'ASISTENCIA 2'!A1"/><Relationship Id="rId19" Type="http://schemas.openxmlformats.org/officeDocument/2006/relationships/hyperlink" Target="#AGENDA!A1"/><Relationship Id="rId4" Type="http://schemas.openxmlformats.org/officeDocument/2006/relationships/hyperlink" Target="#ESTADISTICA!A1"/><Relationship Id="rId9" Type="http://schemas.openxmlformats.org/officeDocument/2006/relationships/hyperlink" Target="#DIFICULTADES1!A1"/><Relationship Id="rId14" Type="http://schemas.openxmlformats.org/officeDocument/2006/relationships/hyperlink" Target="#'ASISTENCIA 3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ARATUL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1ER TRIMESTRE'!A1"/><Relationship Id="rId2" Type="http://schemas.openxmlformats.org/officeDocument/2006/relationships/hyperlink" Target="#FILIACI&#211;N!A1"/><Relationship Id="rId1" Type="http://schemas.openxmlformats.org/officeDocument/2006/relationships/hyperlink" Target="#CARATULA!A1"/><Relationship Id="rId5" Type="http://schemas.openxmlformats.org/officeDocument/2006/relationships/hyperlink" Target="#'3ER TRIMESTRE'!A1"/><Relationship Id="rId4" Type="http://schemas.openxmlformats.org/officeDocument/2006/relationships/hyperlink" Target="#'2DO TRIMESTRE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1ER TRIMESTRE'!A1"/><Relationship Id="rId1" Type="http://schemas.openxmlformats.org/officeDocument/2006/relationships/hyperlink" Target="#CARATULA!I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RATULA!A1"/><Relationship Id="rId1" Type="http://schemas.openxmlformats.org/officeDocument/2006/relationships/hyperlink" Target="#'ASISTENCIA 1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2DO TRIMESTRE'!A1"/><Relationship Id="rId1" Type="http://schemas.openxmlformats.org/officeDocument/2006/relationships/hyperlink" Target="#CARATULA!I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CARATULA!A1"/><Relationship Id="rId1" Type="http://schemas.openxmlformats.org/officeDocument/2006/relationships/hyperlink" Target="#'ASISTENCIA 2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'3ER TRIMESTRE'!A1"/><Relationship Id="rId1" Type="http://schemas.openxmlformats.org/officeDocument/2006/relationships/hyperlink" Target="#CARATULA!I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CARATULA!A1"/><Relationship Id="rId1" Type="http://schemas.openxmlformats.org/officeDocument/2006/relationships/hyperlink" Target="#'ASISTENCIA 3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hyperlink" Target="#CARATULA!I1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169912</xdr:colOff>
      <xdr:row>7</xdr:row>
      <xdr:rowOff>88580</xdr:rowOff>
    </xdr:from>
    <xdr:to>
      <xdr:col>16</xdr:col>
      <xdr:colOff>229471</xdr:colOff>
      <xdr:row>8</xdr:row>
      <xdr:rowOff>162830</xdr:rowOff>
    </xdr:to>
    <xdr:sp macro="" textlink="">
      <xdr:nvSpPr>
        <xdr:cNvPr id="10" name="9 Rectángulo">
          <a:hlinkClick xmlns:r="http://schemas.openxmlformats.org/officeDocument/2006/relationships" r:id="rId1" tooltip=" "/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7837537" y="1422080"/>
          <a:ext cx="897759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FILIACION</a:t>
          </a:r>
        </a:p>
      </xdr:txBody>
    </xdr:sp>
    <xdr:clientData/>
  </xdr:twoCellAnchor>
  <xdr:twoCellAnchor>
    <xdr:from>
      <xdr:col>15</xdr:col>
      <xdr:colOff>178043</xdr:colOff>
      <xdr:row>9</xdr:row>
      <xdr:rowOff>108998</xdr:rowOff>
    </xdr:from>
    <xdr:to>
      <xdr:col>16</xdr:col>
      <xdr:colOff>723596</xdr:colOff>
      <xdr:row>10</xdr:row>
      <xdr:rowOff>222814</xdr:rowOff>
    </xdr:to>
    <xdr:sp macro="" textlink="">
      <xdr:nvSpPr>
        <xdr:cNvPr id="11" name="10 Rectángulo">
          <a:hlinkClick xmlns:r="http://schemas.openxmlformats.org/officeDocument/2006/relationships" r:id="rId2" tooltip=" "/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7426568" y="1975898"/>
          <a:ext cx="1383753" cy="361466"/>
        </a:xfrm>
        <a:prstGeom prst="rect">
          <a:avLst/>
        </a:prstGeom>
        <a:solidFill>
          <a:srgbClr val="FFC0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CENTRALIZADOR I</a:t>
          </a:r>
        </a:p>
      </xdr:txBody>
    </xdr:sp>
    <xdr:clientData/>
  </xdr:twoCellAnchor>
  <xdr:twoCellAnchor>
    <xdr:from>
      <xdr:col>15</xdr:col>
      <xdr:colOff>179856</xdr:colOff>
      <xdr:row>4</xdr:row>
      <xdr:rowOff>52668</xdr:rowOff>
    </xdr:from>
    <xdr:to>
      <xdr:col>16</xdr:col>
      <xdr:colOff>717738</xdr:colOff>
      <xdr:row>6</xdr:row>
      <xdr:rowOff>31668</xdr:rowOff>
    </xdr:to>
    <xdr:sp macro="" textlink="">
      <xdr:nvSpPr>
        <xdr:cNvPr id="18" name="17 Rectángulo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/>
      </xdr:nvSpPr>
      <xdr:spPr>
        <a:xfrm>
          <a:off x="7428381" y="814668"/>
          <a:ext cx="1376082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000" b="1"/>
            <a:t>INICIO</a:t>
          </a:r>
        </a:p>
      </xdr:txBody>
    </xdr:sp>
    <xdr:clientData/>
  </xdr:twoCellAnchor>
  <xdr:twoCellAnchor>
    <xdr:from>
      <xdr:col>17</xdr:col>
      <xdr:colOff>15528</xdr:colOff>
      <xdr:row>9</xdr:row>
      <xdr:rowOff>118302</xdr:rowOff>
    </xdr:from>
    <xdr:to>
      <xdr:col>18</xdr:col>
      <xdr:colOff>542204</xdr:colOff>
      <xdr:row>10</xdr:row>
      <xdr:rowOff>230652</xdr:rowOff>
    </xdr:to>
    <xdr:sp macro="" textlink="">
      <xdr:nvSpPr>
        <xdr:cNvPr id="34" name="33 Rectángulo">
          <a:hlinkClick xmlns:r="http://schemas.openxmlformats.org/officeDocument/2006/relationships" r:id="rId3" tooltip=" "/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8940453" y="1985202"/>
          <a:ext cx="1364876" cy="360000"/>
        </a:xfrm>
        <a:prstGeom prst="rect">
          <a:avLst/>
        </a:prstGeom>
        <a:solidFill>
          <a:srgbClr val="FFC000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CENTRALIZADOR II</a:t>
          </a:r>
        </a:p>
      </xdr:txBody>
    </xdr:sp>
    <xdr:clientData/>
  </xdr:twoCellAnchor>
  <xdr:twoCellAnchor>
    <xdr:from>
      <xdr:col>16</xdr:col>
      <xdr:colOff>344489</xdr:colOff>
      <xdr:row>7</xdr:row>
      <xdr:rowOff>107630</xdr:rowOff>
    </xdr:from>
    <xdr:to>
      <xdr:col>17</xdr:col>
      <xdr:colOff>542925</xdr:colOff>
      <xdr:row>8</xdr:row>
      <xdr:rowOff>181880</xdr:rowOff>
    </xdr:to>
    <xdr:sp macro="" textlink="">
      <xdr:nvSpPr>
        <xdr:cNvPr id="36" name="35 Rectángulo">
          <a:hlinkClick xmlns:r="http://schemas.openxmlformats.org/officeDocument/2006/relationships" r:id="rId4" tooltip=" "/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8431214" y="1441130"/>
          <a:ext cx="1036636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ESTADISTICAS</a:t>
          </a:r>
        </a:p>
      </xdr:txBody>
    </xdr:sp>
    <xdr:clientData/>
  </xdr:twoCellAnchor>
  <xdr:twoCellAnchor editAs="oneCell">
    <xdr:from>
      <xdr:col>19</xdr:col>
      <xdr:colOff>635318</xdr:colOff>
      <xdr:row>6</xdr:row>
      <xdr:rowOff>33618</xdr:rowOff>
    </xdr:from>
    <xdr:to>
      <xdr:col>20</xdr:col>
      <xdr:colOff>409138</xdr:colOff>
      <xdr:row>8</xdr:row>
      <xdr:rowOff>166026</xdr:rowOff>
    </xdr:to>
    <xdr:pic macro="[0]!Exportar_PDF">
      <xdr:nvPicPr>
        <xdr:cNvPr id="24" name="23 Imagen"/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630965" y="1176618"/>
          <a:ext cx="614261" cy="614261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293403</xdr:colOff>
      <xdr:row>14</xdr:row>
      <xdr:rowOff>127526</xdr:rowOff>
    </xdr:from>
    <xdr:to>
      <xdr:col>16</xdr:col>
      <xdr:colOff>492003</xdr:colOff>
      <xdr:row>16</xdr:row>
      <xdr:rowOff>106526</xdr:rowOff>
    </xdr:to>
    <xdr:sp macro="" textlink="">
      <xdr:nvSpPr>
        <xdr:cNvPr id="4" name="3 Rectángulo">
          <a:hlinkClick xmlns:r="http://schemas.openxmlformats.org/officeDocument/2006/relationships" r:id="rId6" tooltip=" "/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7547057" y="3065622"/>
          <a:ext cx="1033869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/>
  </xdr:twoCellAnchor>
  <xdr:twoCellAnchor>
    <xdr:from>
      <xdr:col>15</xdr:col>
      <xdr:colOff>293403</xdr:colOff>
      <xdr:row>17</xdr:row>
      <xdr:rowOff>71983</xdr:rowOff>
    </xdr:from>
    <xdr:to>
      <xdr:col>16</xdr:col>
      <xdr:colOff>492003</xdr:colOff>
      <xdr:row>19</xdr:row>
      <xdr:rowOff>50983</xdr:rowOff>
    </xdr:to>
    <xdr:sp macro="" textlink="">
      <xdr:nvSpPr>
        <xdr:cNvPr id="8" name="7 Rectángulo">
          <a:hlinkClick xmlns:r="http://schemas.openxmlformats.org/officeDocument/2006/relationships" r:id="rId7" tooltip=" "/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7547057" y="3581579"/>
          <a:ext cx="1033869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/>
  </xdr:twoCellAnchor>
  <xdr:twoCellAnchor>
    <xdr:from>
      <xdr:col>15</xdr:col>
      <xdr:colOff>145785</xdr:colOff>
      <xdr:row>13</xdr:row>
      <xdr:rowOff>187569</xdr:rowOff>
    </xdr:from>
    <xdr:to>
      <xdr:col>16</xdr:col>
      <xdr:colOff>639620</xdr:colOff>
      <xdr:row>25</xdr:row>
      <xdr:rowOff>133350</xdr:rowOff>
    </xdr:to>
    <xdr:sp macro="" textlink="">
      <xdr:nvSpPr>
        <xdr:cNvPr id="20" name="19 Rectángulo redondeado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7399439" y="2935165"/>
          <a:ext cx="1329104" cy="2231781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177549</xdr:colOff>
      <xdr:row>12</xdr:row>
      <xdr:rowOff>30424</xdr:rowOff>
    </xdr:from>
    <xdr:to>
      <xdr:col>16</xdr:col>
      <xdr:colOff>607856</xdr:colOff>
      <xdr:row>13</xdr:row>
      <xdr:rowOff>131277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7431203" y="2587520"/>
          <a:ext cx="1265576" cy="29135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200" b="1">
              <a:solidFill>
                <a:sysClr val="windowText" lastClr="000000"/>
              </a:solidFill>
            </a:rPr>
            <a:t>1er</a:t>
          </a:r>
          <a:r>
            <a:rPr lang="es-ES" sz="1200" b="1" baseline="0">
              <a:solidFill>
                <a:sysClr val="windowText" lastClr="000000"/>
              </a:solidFill>
            </a:rPr>
            <a:t> TRIMESTRE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292971</xdr:colOff>
      <xdr:row>20</xdr:row>
      <xdr:rowOff>16440</xdr:rowOff>
    </xdr:from>
    <xdr:to>
      <xdr:col>16</xdr:col>
      <xdr:colOff>492435</xdr:colOff>
      <xdr:row>22</xdr:row>
      <xdr:rowOff>5234</xdr:rowOff>
    </xdr:to>
    <xdr:sp macro="" textlink="">
      <xdr:nvSpPr>
        <xdr:cNvPr id="3" name="2 Rectángulo">
          <a:hlinkClick xmlns:r="http://schemas.openxmlformats.org/officeDocument/2006/relationships" r:id="rId8"/>
        </xdr:cNvPr>
        <xdr:cNvSpPr/>
      </xdr:nvSpPr>
      <xdr:spPr>
        <a:xfrm>
          <a:off x="7546625" y="4097536"/>
          <a:ext cx="1034733" cy="369794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</a:t>
          </a:r>
        </a:p>
      </xdr:txBody>
    </xdr:sp>
    <xdr:clientData/>
  </xdr:twoCellAnchor>
  <xdr:twoCellAnchor>
    <xdr:from>
      <xdr:col>15</xdr:col>
      <xdr:colOff>293403</xdr:colOff>
      <xdr:row>22</xdr:row>
      <xdr:rowOff>161191</xdr:rowOff>
    </xdr:from>
    <xdr:to>
      <xdr:col>16</xdr:col>
      <xdr:colOff>492003</xdr:colOff>
      <xdr:row>24</xdr:row>
      <xdr:rowOff>140191</xdr:rowOff>
    </xdr:to>
    <xdr:sp macro="" textlink="">
      <xdr:nvSpPr>
        <xdr:cNvPr id="9" name="8 Rectángulo">
          <a:hlinkClick xmlns:r="http://schemas.openxmlformats.org/officeDocument/2006/relationships" r:id="rId9" tooltip=" "/>
        </xdr:cNvPr>
        <xdr:cNvSpPr/>
      </xdr:nvSpPr>
      <xdr:spPr>
        <a:xfrm>
          <a:off x="7547057" y="4623287"/>
          <a:ext cx="1033869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chemeClr val="bg1"/>
              </a:solidFill>
            </a:rPr>
            <a:t>DIFICULTADES</a:t>
          </a:r>
        </a:p>
      </xdr:txBody>
    </xdr:sp>
    <xdr:clientData/>
  </xdr:twoCellAnchor>
  <xdr:twoCellAnchor>
    <xdr:from>
      <xdr:col>17</xdr:col>
      <xdr:colOff>249441</xdr:colOff>
      <xdr:row>14</xdr:row>
      <xdr:rowOff>127526</xdr:rowOff>
    </xdr:from>
    <xdr:to>
      <xdr:col>18</xdr:col>
      <xdr:colOff>448041</xdr:colOff>
      <xdr:row>16</xdr:row>
      <xdr:rowOff>106526</xdr:rowOff>
    </xdr:to>
    <xdr:sp macro="" textlink="">
      <xdr:nvSpPr>
        <xdr:cNvPr id="5" name="4 Rectángulo">
          <a:hlinkClick xmlns:r="http://schemas.openxmlformats.org/officeDocument/2006/relationships" r:id="rId10" tooltip=" "/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9173633" y="3065622"/>
          <a:ext cx="1033870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/>
  </xdr:twoCellAnchor>
  <xdr:twoCellAnchor>
    <xdr:from>
      <xdr:col>17</xdr:col>
      <xdr:colOff>249441</xdr:colOff>
      <xdr:row>17</xdr:row>
      <xdr:rowOff>71983</xdr:rowOff>
    </xdr:from>
    <xdr:to>
      <xdr:col>18</xdr:col>
      <xdr:colOff>448041</xdr:colOff>
      <xdr:row>19</xdr:row>
      <xdr:rowOff>50983</xdr:rowOff>
    </xdr:to>
    <xdr:sp macro="" textlink="">
      <xdr:nvSpPr>
        <xdr:cNvPr id="12" name="11 Rectángulo">
          <a:hlinkClick xmlns:r="http://schemas.openxmlformats.org/officeDocument/2006/relationships" r:id="rId11" tooltip=" "/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9173633" y="3581579"/>
          <a:ext cx="1033870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/>
  </xdr:twoCellAnchor>
  <xdr:twoCellAnchor>
    <xdr:from>
      <xdr:col>17</xdr:col>
      <xdr:colOff>135053</xdr:colOff>
      <xdr:row>12</xdr:row>
      <xdr:rowOff>30424</xdr:rowOff>
    </xdr:from>
    <xdr:to>
      <xdr:col>18</xdr:col>
      <xdr:colOff>562429</xdr:colOff>
      <xdr:row>13</xdr:row>
      <xdr:rowOff>131277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9059245" y="2587520"/>
          <a:ext cx="1262646" cy="29135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200" b="1">
              <a:solidFill>
                <a:sysClr val="windowText" lastClr="000000"/>
              </a:solidFill>
            </a:rPr>
            <a:t>2do</a:t>
          </a:r>
          <a:r>
            <a:rPr lang="es-ES" sz="1200" b="1" baseline="0">
              <a:solidFill>
                <a:sysClr val="windowText" lastClr="000000"/>
              </a:solidFill>
            </a:rPr>
            <a:t> TRIMESTRE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249009</xdr:colOff>
      <xdr:row>20</xdr:row>
      <xdr:rowOff>16440</xdr:rowOff>
    </xdr:from>
    <xdr:to>
      <xdr:col>18</xdr:col>
      <xdr:colOff>448473</xdr:colOff>
      <xdr:row>22</xdr:row>
      <xdr:rowOff>5234</xdr:rowOff>
    </xdr:to>
    <xdr:sp macro="" textlink="">
      <xdr:nvSpPr>
        <xdr:cNvPr id="22" name="21 Rectángulo">
          <a:hlinkClick xmlns:r="http://schemas.openxmlformats.org/officeDocument/2006/relationships" r:id="rId12" tooltip=" "/>
        </xdr:cNvPr>
        <xdr:cNvSpPr/>
      </xdr:nvSpPr>
      <xdr:spPr>
        <a:xfrm>
          <a:off x="9173201" y="4097536"/>
          <a:ext cx="1034734" cy="369794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</a:t>
          </a:r>
        </a:p>
      </xdr:txBody>
    </xdr:sp>
    <xdr:clientData/>
  </xdr:twoCellAnchor>
  <xdr:twoCellAnchor>
    <xdr:from>
      <xdr:col>17</xdr:col>
      <xdr:colOff>249441</xdr:colOff>
      <xdr:row>22</xdr:row>
      <xdr:rowOff>161191</xdr:rowOff>
    </xdr:from>
    <xdr:to>
      <xdr:col>18</xdr:col>
      <xdr:colOff>448041</xdr:colOff>
      <xdr:row>24</xdr:row>
      <xdr:rowOff>140191</xdr:rowOff>
    </xdr:to>
    <xdr:sp macro="" textlink="">
      <xdr:nvSpPr>
        <xdr:cNvPr id="27" name="26 Rectángulo">
          <a:hlinkClick xmlns:r="http://schemas.openxmlformats.org/officeDocument/2006/relationships" r:id="rId13" tooltip=" "/>
        </xdr:cNvPr>
        <xdr:cNvSpPr/>
      </xdr:nvSpPr>
      <xdr:spPr>
        <a:xfrm>
          <a:off x="9173633" y="4623287"/>
          <a:ext cx="103387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chemeClr val="bg1"/>
              </a:solidFill>
            </a:rPr>
            <a:t>DIFICULTADES</a:t>
          </a:r>
        </a:p>
      </xdr:txBody>
    </xdr:sp>
    <xdr:clientData/>
  </xdr:twoCellAnchor>
  <xdr:twoCellAnchor>
    <xdr:from>
      <xdr:col>17</xdr:col>
      <xdr:colOff>101824</xdr:colOff>
      <xdr:row>14</xdr:row>
      <xdr:rowOff>4396</xdr:rowOff>
    </xdr:from>
    <xdr:to>
      <xdr:col>18</xdr:col>
      <xdr:colOff>595658</xdr:colOff>
      <xdr:row>25</xdr:row>
      <xdr:rowOff>140677</xdr:rowOff>
    </xdr:to>
    <xdr:sp macro="" textlink="">
      <xdr:nvSpPr>
        <xdr:cNvPr id="33" name="32 Rectángulo redondeado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9026016" y="2942492"/>
          <a:ext cx="1329104" cy="2231781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19</xdr:col>
      <xdr:colOff>205480</xdr:colOff>
      <xdr:row>14</xdr:row>
      <xdr:rowOff>127526</xdr:rowOff>
    </xdr:from>
    <xdr:to>
      <xdr:col>20</xdr:col>
      <xdr:colOff>404080</xdr:colOff>
      <xdr:row>16</xdr:row>
      <xdr:rowOff>106526</xdr:rowOff>
    </xdr:to>
    <xdr:sp macro="" textlink="">
      <xdr:nvSpPr>
        <xdr:cNvPr id="6" name="5 Rectángulo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800211" y="3065622"/>
          <a:ext cx="1033869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/>
  </xdr:twoCellAnchor>
  <xdr:twoCellAnchor>
    <xdr:from>
      <xdr:col>19</xdr:col>
      <xdr:colOff>205480</xdr:colOff>
      <xdr:row>17</xdr:row>
      <xdr:rowOff>71983</xdr:rowOff>
    </xdr:from>
    <xdr:to>
      <xdr:col>20</xdr:col>
      <xdr:colOff>404080</xdr:colOff>
      <xdr:row>19</xdr:row>
      <xdr:rowOff>50983</xdr:rowOff>
    </xdr:to>
    <xdr:sp macro="" textlink="">
      <xdr:nvSpPr>
        <xdr:cNvPr id="14" name="13 Rectángulo">
          <a:hlinkClick xmlns:r="http://schemas.openxmlformats.org/officeDocument/2006/relationships" r:id="rId15" tooltip=" "/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0800211" y="3581579"/>
          <a:ext cx="1033869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/>
  </xdr:twoCellAnchor>
  <xdr:twoCellAnchor>
    <xdr:from>
      <xdr:col>19</xdr:col>
      <xdr:colOff>82416</xdr:colOff>
      <xdr:row>12</xdr:row>
      <xdr:rowOff>30424</xdr:rowOff>
    </xdr:from>
    <xdr:to>
      <xdr:col>20</xdr:col>
      <xdr:colOff>527143</xdr:colOff>
      <xdr:row>13</xdr:row>
      <xdr:rowOff>131277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/>
      </xdr:nvSpPr>
      <xdr:spPr>
        <a:xfrm>
          <a:off x="10677147" y="2587520"/>
          <a:ext cx="1279996" cy="29135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s-ES" sz="1200" b="1">
              <a:solidFill>
                <a:sysClr val="windowText" lastClr="000000"/>
              </a:solidFill>
            </a:rPr>
            <a:t>3er</a:t>
          </a:r>
          <a:r>
            <a:rPr lang="es-ES" sz="1200" b="1" baseline="0">
              <a:solidFill>
                <a:sysClr val="windowText" lastClr="000000"/>
              </a:solidFill>
            </a:rPr>
            <a:t> TRIMESTRE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19</xdr:col>
      <xdr:colOff>205048</xdr:colOff>
      <xdr:row>20</xdr:row>
      <xdr:rowOff>16440</xdr:rowOff>
    </xdr:from>
    <xdr:to>
      <xdr:col>20</xdr:col>
      <xdr:colOff>404512</xdr:colOff>
      <xdr:row>22</xdr:row>
      <xdr:rowOff>5234</xdr:rowOff>
    </xdr:to>
    <xdr:sp macro="" textlink="">
      <xdr:nvSpPr>
        <xdr:cNvPr id="23" name="22 Rectángulo">
          <a:hlinkClick xmlns:r="http://schemas.openxmlformats.org/officeDocument/2006/relationships" r:id="rId16" tooltip=" "/>
        </xdr:cNvPr>
        <xdr:cNvSpPr/>
      </xdr:nvSpPr>
      <xdr:spPr>
        <a:xfrm>
          <a:off x="10799779" y="4097536"/>
          <a:ext cx="1034733" cy="369794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</a:t>
          </a:r>
        </a:p>
      </xdr:txBody>
    </xdr:sp>
    <xdr:clientData/>
  </xdr:twoCellAnchor>
  <xdr:twoCellAnchor>
    <xdr:from>
      <xdr:col>19</xdr:col>
      <xdr:colOff>205480</xdr:colOff>
      <xdr:row>22</xdr:row>
      <xdr:rowOff>161191</xdr:rowOff>
    </xdr:from>
    <xdr:to>
      <xdr:col>20</xdr:col>
      <xdr:colOff>404080</xdr:colOff>
      <xdr:row>24</xdr:row>
      <xdr:rowOff>140191</xdr:rowOff>
    </xdr:to>
    <xdr:sp macro="" textlink="">
      <xdr:nvSpPr>
        <xdr:cNvPr id="32" name="31 Rectángulo">
          <a:hlinkClick xmlns:r="http://schemas.openxmlformats.org/officeDocument/2006/relationships" r:id="rId17" tooltip=" "/>
        </xdr:cNvPr>
        <xdr:cNvSpPr/>
      </xdr:nvSpPr>
      <xdr:spPr>
        <a:xfrm>
          <a:off x="10800211" y="4623287"/>
          <a:ext cx="1033869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chemeClr val="bg1"/>
              </a:solidFill>
            </a:rPr>
            <a:t>DIFICULTADES</a:t>
          </a:r>
        </a:p>
      </xdr:txBody>
    </xdr:sp>
    <xdr:clientData/>
  </xdr:twoCellAnchor>
  <xdr:twoCellAnchor>
    <xdr:from>
      <xdr:col>19</xdr:col>
      <xdr:colOff>57862</xdr:colOff>
      <xdr:row>13</xdr:row>
      <xdr:rowOff>187569</xdr:rowOff>
    </xdr:from>
    <xdr:to>
      <xdr:col>20</xdr:col>
      <xdr:colOff>551697</xdr:colOff>
      <xdr:row>25</xdr:row>
      <xdr:rowOff>133350</xdr:rowOff>
    </xdr:to>
    <xdr:sp macro="" textlink="">
      <xdr:nvSpPr>
        <xdr:cNvPr id="35" name="34 Rectángulo redondeado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10652593" y="2935165"/>
          <a:ext cx="1329104" cy="2231781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666749</xdr:colOff>
      <xdr:row>7</xdr:row>
      <xdr:rowOff>104775</xdr:rowOff>
    </xdr:from>
    <xdr:to>
      <xdr:col>19</xdr:col>
      <xdr:colOff>447675</xdr:colOff>
      <xdr:row>8</xdr:row>
      <xdr:rowOff>179025</xdr:rowOff>
    </xdr:to>
    <xdr:sp macro="" textlink="">
      <xdr:nvSpPr>
        <xdr:cNvPr id="2" name="1 Rectángulo">
          <a:hlinkClick xmlns:r="http://schemas.openxmlformats.org/officeDocument/2006/relationships" r:id="rId18" tooltip=" "/>
        </xdr:cNvPr>
        <xdr:cNvSpPr/>
      </xdr:nvSpPr>
      <xdr:spPr>
        <a:xfrm>
          <a:off x="9591674" y="1438275"/>
          <a:ext cx="1457326" cy="360000"/>
        </a:xfrm>
        <a:prstGeom prst="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DESTACADOS ANUAL</a:t>
          </a:r>
        </a:p>
      </xdr:txBody>
    </xdr:sp>
    <xdr:clientData/>
  </xdr:twoCellAnchor>
  <xdr:twoCellAnchor>
    <xdr:from>
      <xdr:col>18</xdr:col>
      <xdr:colOff>806823</xdr:colOff>
      <xdr:row>9</xdr:row>
      <xdr:rowOff>145677</xdr:rowOff>
    </xdr:from>
    <xdr:to>
      <xdr:col>20</xdr:col>
      <xdr:colOff>504265</xdr:colOff>
      <xdr:row>11</xdr:row>
      <xdr:rowOff>12618</xdr:rowOff>
    </xdr:to>
    <xdr:sp macro="" textlink="">
      <xdr:nvSpPr>
        <xdr:cNvPr id="13" name="12 Rectángulo">
          <a:hlinkClick xmlns:r="http://schemas.openxmlformats.org/officeDocument/2006/relationships" r:id="rId19" tooltip=" "/>
        </xdr:cNvPr>
        <xdr:cNvSpPr/>
      </xdr:nvSpPr>
      <xdr:spPr>
        <a:xfrm>
          <a:off x="9962029" y="2017059"/>
          <a:ext cx="1378324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AGENDA</a:t>
          </a:r>
        </a:p>
      </xdr:txBody>
    </xdr:sp>
    <xdr:clientData/>
  </xdr:twoCellAnchor>
  <xdr:twoCellAnchor>
    <xdr:from>
      <xdr:col>16</xdr:col>
      <xdr:colOff>11206</xdr:colOff>
      <xdr:row>29</xdr:row>
      <xdr:rowOff>8008</xdr:rowOff>
    </xdr:from>
    <xdr:to>
      <xdr:col>18</xdr:col>
      <xdr:colOff>268941</xdr:colOff>
      <xdr:row>30</xdr:row>
      <xdr:rowOff>156879</xdr:rowOff>
    </xdr:to>
    <xdr:sp macro="" textlink="">
      <xdr:nvSpPr>
        <xdr:cNvPr id="30" name="29 Rectángulo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7485530" y="5801449"/>
          <a:ext cx="1938617" cy="33937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>
              <a:solidFill>
                <a:sysClr val="windowText" lastClr="000000"/>
              </a:solidFill>
            </a:rPr>
            <a:t>CONFIGURAR </a:t>
          </a:r>
          <a:r>
            <a:rPr lang="es-ES" sz="1200" b="1" baseline="0">
              <a:solidFill>
                <a:sysClr val="windowText" lastClr="000000"/>
              </a:solidFill>
            </a:rPr>
            <a:t>REGISTRO</a:t>
          </a:r>
          <a:endParaRPr lang="es-E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728382</xdr:colOff>
      <xdr:row>28</xdr:row>
      <xdr:rowOff>168086</xdr:rowOff>
    </xdr:from>
    <xdr:to>
      <xdr:col>18</xdr:col>
      <xdr:colOff>425824</xdr:colOff>
      <xdr:row>34</xdr:row>
      <xdr:rowOff>179291</xdr:rowOff>
    </xdr:to>
    <xdr:sp macro="" textlink="">
      <xdr:nvSpPr>
        <xdr:cNvPr id="37" name="36 Rectángulo redondeado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/>
      </xdr:nvSpPr>
      <xdr:spPr>
        <a:xfrm>
          <a:off x="7362264" y="5771027"/>
          <a:ext cx="2218766" cy="1154205"/>
        </a:xfrm>
        <a:prstGeom prst="roundRect">
          <a:avLst>
            <a:gd name="adj" fmla="val 10231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145674</xdr:colOff>
      <xdr:row>31</xdr:row>
      <xdr:rowOff>33619</xdr:rowOff>
    </xdr:from>
    <xdr:to>
      <xdr:col>18</xdr:col>
      <xdr:colOff>313233</xdr:colOff>
      <xdr:row>33</xdr:row>
      <xdr:rowOff>12619</xdr:rowOff>
    </xdr:to>
    <xdr:sp macro="[0]!configurar_filas" textlink="">
      <xdr:nvSpPr>
        <xdr:cNvPr id="15" name="14 Rectángulo"/>
        <xdr:cNvSpPr/>
      </xdr:nvSpPr>
      <xdr:spPr>
        <a:xfrm>
          <a:off x="8460439" y="6208060"/>
          <a:ext cx="1008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 u="none"/>
            <a:t>CONFIGURAR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67235</xdr:colOff>
      <xdr:row>6</xdr:row>
      <xdr:rowOff>112059</xdr:rowOff>
    </xdr:from>
    <xdr:to>
      <xdr:col>1</xdr:col>
      <xdr:colOff>851647</xdr:colOff>
      <xdr:row>8</xdr:row>
      <xdr:rowOff>63845</xdr:rowOff>
    </xdr:to>
    <xdr:sp macro="" textlink="">
      <xdr:nvSpPr>
        <xdr:cNvPr id="5" name="4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392206" y="1255059"/>
          <a:ext cx="784412" cy="355198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8</xdr:row>
      <xdr:rowOff>15557</xdr:rowOff>
    </xdr:from>
    <xdr:to>
      <xdr:col>3</xdr:col>
      <xdr:colOff>119511</xdr:colOff>
      <xdr:row>9</xdr:row>
      <xdr:rowOff>143644</xdr:rowOff>
    </xdr:to>
    <xdr:sp macro="" textlink="">
      <xdr:nvSpPr>
        <xdr:cNvPr id="4" name="3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876011" y="1663796"/>
          <a:ext cx="720000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219306</xdr:colOff>
      <xdr:row>8</xdr:row>
      <xdr:rowOff>13156</xdr:rowOff>
    </xdr:from>
    <xdr:to>
      <xdr:col>3</xdr:col>
      <xdr:colOff>939306</xdr:colOff>
      <xdr:row>9</xdr:row>
      <xdr:rowOff>141243</xdr:rowOff>
    </xdr:to>
    <xdr:sp macro="" textlink="">
      <xdr:nvSpPr>
        <xdr:cNvPr id="6" name="5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2695806" y="1661395"/>
          <a:ext cx="720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FILIACION</a:t>
          </a:r>
        </a:p>
      </xdr:txBody>
    </xdr:sp>
    <xdr:clientData fPrintsWithSheet="0"/>
  </xdr:twoCellAnchor>
  <xdr:twoCellAnchor>
    <xdr:from>
      <xdr:col>1</xdr:col>
      <xdr:colOff>647684</xdr:colOff>
      <xdr:row>8</xdr:row>
      <xdr:rowOff>13156</xdr:rowOff>
    </xdr:from>
    <xdr:to>
      <xdr:col>2</xdr:col>
      <xdr:colOff>400719</xdr:colOff>
      <xdr:row>9</xdr:row>
      <xdr:rowOff>141243</xdr:rowOff>
    </xdr:to>
    <xdr:sp macro="[0]!exportar_hoja" textlink="">
      <xdr:nvSpPr>
        <xdr:cNvPr id="3" name="2 Rectángulo"/>
        <xdr:cNvSpPr/>
      </xdr:nvSpPr>
      <xdr:spPr>
        <a:xfrm>
          <a:off x="974255" y="1646013"/>
          <a:ext cx="828000" cy="359409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EXPORTAR</a:t>
          </a:r>
        </a:p>
      </xdr:txBody>
    </xdr:sp>
    <xdr:clientData fPrintsWithSheet="0"/>
  </xdr:twoCellAnchor>
  <xdr:twoCellAnchor>
    <xdr:from>
      <xdr:col>17</xdr:col>
      <xdr:colOff>112058</xdr:colOff>
      <xdr:row>0</xdr:row>
      <xdr:rowOff>156883</xdr:rowOff>
    </xdr:from>
    <xdr:to>
      <xdr:col>27</xdr:col>
      <xdr:colOff>275672</xdr:colOff>
      <xdr:row>2</xdr:row>
      <xdr:rowOff>93301</xdr:rowOff>
    </xdr:to>
    <xdr:sp macro="" textlink="">
      <xdr:nvSpPr>
        <xdr:cNvPr id="9" name="8 Rectángul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12382499" y="156883"/>
          <a:ext cx="791144" cy="36224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 1</a:t>
          </a:r>
        </a:p>
      </xdr:txBody>
    </xdr:sp>
    <xdr:clientData fPrintsWithSheet="0"/>
  </xdr:twoCellAnchor>
  <xdr:twoCellAnchor>
    <xdr:from>
      <xdr:col>17</xdr:col>
      <xdr:colOff>112059</xdr:colOff>
      <xdr:row>3</xdr:row>
      <xdr:rowOff>15646</xdr:rowOff>
    </xdr:from>
    <xdr:to>
      <xdr:col>27</xdr:col>
      <xdr:colOff>275673</xdr:colOff>
      <xdr:row>4</xdr:row>
      <xdr:rowOff>164976</xdr:rowOff>
    </xdr:to>
    <xdr:sp macro="" textlink="">
      <xdr:nvSpPr>
        <xdr:cNvPr id="10" name="9 Rectángul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12382500" y="654381"/>
          <a:ext cx="791144" cy="36224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 2</a:t>
          </a:r>
        </a:p>
      </xdr:txBody>
    </xdr:sp>
    <xdr:clientData fPrintsWithSheet="0"/>
  </xdr:twoCellAnchor>
  <xdr:twoCellAnchor>
    <xdr:from>
      <xdr:col>17</xdr:col>
      <xdr:colOff>100853</xdr:colOff>
      <xdr:row>5</xdr:row>
      <xdr:rowOff>51505</xdr:rowOff>
    </xdr:from>
    <xdr:to>
      <xdr:col>27</xdr:col>
      <xdr:colOff>264467</xdr:colOff>
      <xdr:row>6</xdr:row>
      <xdr:rowOff>200835</xdr:rowOff>
    </xdr:to>
    <xdr:sp macro="" textlink="">
      <xdr:nvSpPr>
        <xdr:cNvPr id="11" name="10 Rectángulo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12371294" y="1116064"/>
          <a:ext cx="791144" cy="362242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 3</a:t>
          </a:r>
        </a:p>
      </xdr:txBody>
    </xdr:sp>
    <xdr:clientData fPrintsWithSheet="0"/>
  </xdr:twoCellAnchor>
  <xdr:twoCellAnchor>
    <xdr:from>
      <xdr:col>0</xdr:col>
      <xdr:colOff>108856</xdr:colOff>
      <xdr:row>8</xdr:row>
      <xdr:rowOff>13606</xdr:rowOff>
    </xdr:from>
    <xdr:to>
      <xdr:col>1</xdr:col>
      <xdr:colOff>142285</xdr:colOff>
      <xdr:row>9</xdr:row>
      <xdr:rowOff>142284</xdr:rowOff>
    </xdr:to>
    <xdr:sp macro="[0]!mostrar_lista_CEN" textlink="">
      <xdr:nvSpPr>
        <xdr:cNvPr id="2" name="1 Rectángulo"/>
        <xdr:cNvSpPr/>
      </xdr:nvSpPr>
      <xdr:spPr>
        <a:xfrm>
          <a:off x="108856" y="1698798"/>
          <a:ext cx="355814" cy="35581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226086</xdr:colOff>
      <xdr:row>8</xdr:row>
      <xdr:rowOff>13606</xdr:rowOff>
    </xdr:from>
    <xdr:to>
      <xdr:col>1</xdr:col>
      <xdr:colOff>581900</xdr:colOff>
      <xdr:row>9</xdr:row>
      <xdr:rowOff>142284</xdr:rowOff>
    </xdr:to>
    <xdr:sp macro="[0]!ocultar_lista_CEN" textlink="">
      <xdr:nvSpPr>
        <xdr:cNvPr id="13" name="12 Rectángulo"/>
        <xdr:cNvSpPr/>
      </xdr:nvSpPr>
      <xdr:spPr>
        <a:xfrm>
          <a:off x="548471" y="1698798"/>
          <a:ext cx="355814" cy="355813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272002</xdr:colOff>
      <xdr:row>10</xdr:row>
      <xdr:rowOff>86138</xdr:rowOff>
    </xdr:from>
    <xdr:to>
      <xdr:col>3</xdr:col>
      <xdr:colOff>239376</xdr:colOff>
      <xdr:row>11</xdr:row>
      <xdr:rowOff>205943</xdr:rowOff>
    </xdr:to>
    <xdr:sp macro="" textlink="">
      <xdr:nvSpPr>
        <xdr:cNvPr id="2" name="1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919702" y="1867313"/>
          <a:ext cx="586499" cy="35793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314350</xdr:colOff>
      <xdr:row>10</xdr:row>
      <xdr:rowOff>86138</xdr:rowOff>
    </xdr:from>
    <xdr:to>
      <xdr:col>3</xdr:col>
      <xdr:colOff>922942</xdr:colOff>
      <xdr:row>11</xdr:row>
      <xdr:rowOff>205943</xdr:rowOff>
    </xdr:to>
    <xdr:sp macro="" textlink="">
      <xdr:nvSpPr>
        <xdr:cNvPr id="5" name="4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581175" y="1867313"/>
          <a:ext cx="608592" cy="35793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50" b="1"/>
            <a:t>NOTAS</a:t>
          </a:r>
        </a:p>
      </xdr:txBody>
    </xdr:sp>
    <xdr:clientData fPrintsWithSheet="0"/>
  </xdr:twoCellAnchor>
  <xdr:twoCellAnchor>
    <xdr:from>
      <xdr:col>0</xdr:col>
      <xdr:colOff>49697</xdr:colOff>
      <xdr:row>10</xdr:row>
      <xdr:rowOff>93342</xdr:rowOff>
    </xdr:from>
    <xdr:to>
      <xdr:col>1</xdr:col>
      <xdr:colOff>85075</xdr:colOff>
      <xdr:row>11</xdr:row>
      <xdr:rowOff>205943</xdr:rowOff>
    </xdr:to>
    <xdr:sp macro="[0]!mostrar_lista_ASIST" textlink="">
      <xdr:nvSpPr>
        <xdr:cNvPr id="9" name="8 Rectángulo"/>
        <xdr:cNvSpPr/>
      </xdr:nvSpPr>
      <xdr:spPr>
        <a:xfrm>
          <a:off x="49697" y="1874517"/>
          <a:ext cx="359228" cy="3507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160049</xdr:colOff>
      <xdr:row>10</xdr:row>
      <xdr:rowOff>86138</xdr:rowOff>
    </xdr:from>
    <xdr:to>
      <xdr:col>2</xdr:col>
      <xdr:colOff>197028</xdr:colOff>
      <xdr:row>11</xdr:row>
      <xdr:rowOff>205943</xdr:rowOff>
    </xdr:to>
    <xdr:sp macro="[0]!ocultar_lista_ASIST" textlink="">
      <xdr:nvSpPr>
        <xdr:cNvPr id="10" name="9 Rectángulo"/>
        <xdr:cNvSpPr/>
      </xdr:nvSpPr>
      <xdr:spPr>
        <a:xfrm>
          <a:off x="483899" y="1867313"/>
          <a:ext cx="360829" cy="35793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3</xdr:col>
      <xdr:colOff>1019735</xdr:colOff>
      <xdr:row>10</xdr:row>
      <xdr:rowOff>78439</xdr:rowOff>
    </xdr:from>
    <xdr:to>
      <xdr:col>3</xdr:col>
      <xdr:colOff>1739735</xdr:colOff>
      <xdr:row>11</xdr:row>
      <xdr:rowOff>203116</xdr:rowOff>
    </xdr:to>
    <xdr:sp macro="[0]!DesprotegerHojaActual" textlink="">
      <xdr:nvSpPr>
        <xdr:cNvPr id="4" name="3 Rectángulo"/>
        <xdr:cNvSpPr/>
      </xdr:nvSpPr>
      <xdr:spPr>
        <a:xfrm>
          <a:off x="2286000" y="1893792"/>
          <a:ext cx="720000" cy="360000"/>
        </a:xfrm>
        <a:prstGeom prst="rect">
          <a:avLst/>
        </a:prstGeom>
        <a:solidFill>
          <a:srgbClr val="99CC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ysClr val="windowText" lastClr="000000"/>
              </a:solidFill>
            </a:rPr>
            <a:t>MANUAL</a:t>
          </a:r>
        </a:p>
      </xdr:txBody>
    </xdr:sp>
    <xdr:clientData fPrintsWithSheet="0"/>
  </xdr:twoCellAnchor>
  <xdr:twoCellAnchor>
    <xdr:from>
      <xdr:col>80</xdr:col>
      <xdr:colOff>67236</xdr:colOff>
      <xdr:row>7</xdr:row>
      <xdr:rowOff>123265</xdr:rowOff>
    </xdr:from>
    <xdr:to>
      <xdr:col>80</xdr:col>
      <xdr:colOff>571500</xdr:colOff>
      <xdr:row>7</xdr:row>
      <xdr:rowOff>134471</xdr:rowOff>
    </xdr:to>
    <xdr:cxnSp macro="">
      <xdr:nvCxnSpPr>
        <xdr:cNvPr id="8" name="7 Conector recto de flecha"/>
        <xdr:cNvCxnSpPr/>
      </xdr:nvCxnSpPr>
      <xdr:spPr>
        <a:xfrm>
          <a:off x="11564471" y="1367118"/>
          <a:ext cx="504264" cy="11206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156882</xdr:colOff>
      <xdr:row>71</xdr:row>
      <xdr:rowOff>67234</xdr:rowOff>
    </xdr:from>
    <xdr:to>
      <xdr:col>3</xdr:col>
      <xdr:colOff>1236882</xdr:colOff>
      <xdr:row>72</xdr:row>
      <xdr:rowOff>180705</xdr:rowOff>
    </xdr:to>
    <xdr:sp macro="[0]!configurar_asistencia" textlink="">
      <xdr:nvSpPr>
        <xdr:cNvPr id="6" name="5 Rectángulo"/>
        <xdr:cNvSpPr/>
      </xdr:nvSpPr>
      <xdr:spPr>
        <a:xfrm>
          <a:off x="1423147" y="18680205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428983</xdr:colOff>
      <xdr:row>10</xdr:row>
      <xdr:rowOff>60848</xdr:rowOff>
    </xdr:from>
    <xdr:to>
      <xdr:col>3</xdr:col>
      <xdr:colOff>304147</xdr:colOff>
      <xdr:row>10</xdr:row>
      <xdr:rowOff>420848</xdr:rowOff>
    </xdr:to>
    <xdr:sp macro="" textlink="">
      <xdr:nvSpPr>
        <xdr:cNvPr id="2" name="1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800583" y="3051698"/>
          <a:ext cx="837189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50" b="1"/>
            <a:t>ASISTENCIA</a:t>
          </a:r>
          <a:endParaRPr lang="es-ES" sz="1000" b="1"/>
        </a:p>
      </xdr:txBody>
    </xdr:sp>
    <xdr:clientData fPrintsWithSheet="0"/>
  </xdr:twoCellAnchor>
  <xdr:twoCellAnchor>
    <xdr:from>
      <xdr:col>1</xdr:col>
      <xdr:colOff>744239</xdr:colOff>
      <xdr:row>10</xdr:row>
      <xdr:rowOff>60848</xdr:rowOff>
    </xdr:from>
    <xdr:to>
      <xdr:col>2</xdr:col>
      <xdr:colOff>305114</xdr:colOff>
      <xdr:row>10</xdr:row>
      <xdr:rowOff>420848</xdr:rowOff>
    </xdr:to>
    <xdr:sp macro="" textlink="">
      <xdr:nvSpPr>
        <xdr:cNvPr id="11" name="10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>
        <a:xfrm>
          <a:off x="1068089" y="3051698"/>
          <a:ext cx="608625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INICIO</a:t>
          </a:r>
          <a:endParaRPr lang="es-ES" sz="1100" b="1"/>
        </a:p>
      </xdr:txBody>
    </xdr:sp>
    <xdr:clientData fPrintsWithSheet="0"/>
  </xdr:twoCellAnchor>
  <xdr:twoCellAnchor editAs="absolute">
    <xdr:from>
      <xdr:col>4</xdr:col>
      <xdr:colOff>47224</xdr:colOff>
      <xdr:row>6</xdr:row>
      <xdr:rowOff>105332</xdr:rowOff>
    </xdr:from>
    <xdr:to>
      <xdr:col>4</xdr:col>
      <xdr:colOff>407224</xdr:colOff>
      <xdr:row>8</xdr:row>
      <xdr:rowOff>57862</xdr:rowOff>
    </xdr:to>
    <xdr:sp macro="[0]!borrar_asistencia" textlink="">
      <xdr:nvSpPr>
        <xdr:cNvPr id="4" name="3 Proceso alternativo"/>
        <xdr:cNvSpPr/>
      </xdr:nvSpPr>
      <xdr:spPr>
        <a:xfrm>
          <a:off x="3742924" y="1743632"/>
          <a:ext cx="360000" cy="466880"/>
        </a:xfrm>
        <a:prstGeom prst="flowChartAlternateProcess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>
              <a:sym typeface="Wingdings"/>
            </a:rPr>
            <a:t></a:t>
          </a:r>
          <a:endParaRPr lang="es-BO" sz="2000" b="1"/>
        </a:p>
      </xdr:txBody>
    </xdr:sp>
    <xdr:clientData fPrintsWithSheet="0"/>
  </xdr:twoCellAnchor>
  <xdr:twoCellAnchor>
    <xdr:from>
      <xdr:col>4</xdr:col>
      <xdr:colOff>49695</xdr:colOff>
      <xdr:row>8</xdr:row>
      <xdr:rowOff>182214</xdr:rowOff>
    </xdr:from>
    <xdr:to>
      <xdr:col>4</xdr:col>
      <xdr:colOff>409695</xdr:colOff>
      <xdr:row>9</xdr:row>
      <xdr:rowOff>393453</xdr:rowOff>
    </xdr:to>
    <xdr:sp macro="[0]!añadir_asistencia1" textlink="">
      <xdr:nvSpPr>
        <xdr:cNvPr id="3" name="2 Rectángulo redondeado"/>
        <xdr:cNvSpPr/>
      </xdr:nvSpPr>
      <xdr:spPr>
        <a:xfrm>
          <a:off x="3743738" y="2319127"/>
          <a:ext cx="360000" cy="46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400" b="1">
              <a:sym typeface="Wingdings"/>
            </a:rPr>
            <a:t></a:t>
          </a:r>
          <a:endParaRPr lang="es-BO" sz="1100" b="1"/>
        </a:p>
      </xdr:txBody>
    </xdr:sp>
    <xdr:clientData fPrintsWithSheet="0"/>
  </xdr:twoCellAnchor>
  <xdr:twoCellAnchor>
    <xdr:from>
      <xdr:col>0</xdr:col>
      <xdr:colOff>108858</xdr:colOff>
      <xdr:row>10</xdr:row>
      <xdr:rowOff>68052</xdr:rowOff>
    </xdr:from>
    <xdr:to>
      <xdr:col>1</xdr:col>
      <xdr:colOff>140687</xdr:colOff>
      <xdr:row>10</xdr:row>
      <xdr:rowOff>420848</xdr:rowOff>
    </xdr:to>
    <xdr:sp macro="[0]!mostrar_lista_NOTAS" textlink="">
      <xdr:nvSpPr>
        <xdr:cNvPr id="9" name="8 Rectángulo"/>
        <xdr:cNvSpPr/>
      </xdr:nvSpPr>
      <xdr:spPr>
        <a:xfrm>
          <a:off x="108858" y="3058902"/>
          <a:ext cx="355679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264556</xdr:colOff>
      <xdr:row>10</xdr:row>
      <xdr:rowOff>68052</xdr:rowOff>
    </xdr:from>
    <xdr:to>
      <xdr:col>1</xdr:col>
      <xdr:colOff>620370</xdr:colOff>
      <xdr:row>10</xdr:row>
      <xdr:rowOff>420848</xdr:rowOff>
    </xdr:to>
    <xdr:sp macro="[0]!ocultar_lista_NOTAS" textlink="">
      <xdr:nvSpPr>
        <xdr:cNvPr id="13" name="12 Rectángulo"/>
        <xdr:cNvSpPr/>
      </xdr:nvSpPr>
      <xdr:spPr>
        <a:xfrm>
          <a:off x="588406" y="3058902"/>
          <a:ext cx="355814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11204</xdr:colOff>
      <xdr:row>74</xdr:row>
      <xdr:rowOff>156882</xdr:rowOff>
    </xdr:from>
    <xdr:to>
      <xdr:col>2</xdr:col>
      <xdr:colOff>37851</xdr:colOff>
      <xdr:row>76</xdr:row>
      <xdr:rowOff>22411</xdr:rowOff>
    </xdr:to>
    <xdr:sp macro="[0]!configurar_criterios" textlink="">
      <xdr:nvSpPr>
        <xdr:cNvPr id="5" name="4 Rectángulo"/>
        <xdr:cNvSpPr/>
      </xdr:nvSpPr>
      <xdr:spPr>
        <a:xfrm>
          <a:off x="336175" y="22411764"/>
          <a:ext cx="1080000" cy="35858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292147</xdr:colOff>
      <xdr:row>10</xdr:row>
      <xdr:rowOff>96492</xdr:rowOff>
    </xdr:from>
    <xdr:to>
      <xdr:col>3</xdr:col>
      <xdr:colOff>259822</xdr:colOff>
      <xdr:row>11</xdr:row>
      <xdr:rowOff>206358</xdr:rowOff>
    </xdr:to>
    <xdr:sp macro="" textlink="">
      <xdr:nvSpPr>
        <xdr:cNvPr id="6" name="5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939847" y="1877667"/>
          <a:ext cx="586800" cy="347991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328304</xdr:colOff>
      <xdr:row>10</xdr:row>
      <xdr:rowOff>96492</xdr:rowOff>
    </xdr:from>
    <xdr:to>
      <xdr:col>3</xdr:col>
      <xdr:colOff>936704</xdr:colOff>
      <xdr:row>11</xdr:row>
      <xdr:rowOff>206358</xdr:rowOff>
    </xdr:to>
    <xdr:sp macro="" textlink="">
      <xdr:nvSpPr>
        <xdr:cNvPr id="7" name="6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595129" y="1877667"/>
          <a:ext cx="608400" cy="347991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 fPrintsWithSheet="0"/>
  </xdr:twoCellAnchor>
  <xdr:twoCellAnchor>
    <xdr:from>
      <xdr:col>0</xdr:col>
      <xdr:colOff>82826</xdr:colOff>
      <xdr:row>10</xdr:row>
      <xdr:rowOff>86553</xdr:rowOff>
    </xdr:from>
    <xdr:to>
      <xdr:col>1</xdr:col>
      <xdr:colOff>118204</xdr:colOff>
      <xdr:row>11</xdr:row>
      <xdr:rowOff>206358</xdr:rowOff>
    </xdr:to>
    <xdr:sp macro="[0]!mostrar_lista_ASIST" textlink="">
      <xdr:nvSpPr>
        <xdr:cNvPr id="10" name="9 Rectángulo"/>
        <xdr:cNvSpPr/>
      </xdr:nvSpPr>
      <xdr:spPr>
        <a:xfrm>
          <a:off x="82826" y="1867728"/>
          <a:ext cx="359228" cy="35793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186686</xdr:colOff>
      <xdr:row>10</xdr:row>
      <xdr:rowOff>86553</xdr:rowOff>
    </xdr:from>
    <xdr:to>
      <xdr:col>2</xdr:col>
      <xdr:colOff>223665</xdr:colOff>
      <xdr:row>11</xdr:row>
      <xdr:rowOff>206358</xdr:rowOff>
    </xdr:to>
    <xdr:sp macro="[0]!ocultar_lista_ASIST" textlink="">
      <xdr:nvSpPr>
        <xdr:cNvPr id="12" name="11 Rectángulo"/>
        <xdr:cNvSpPr/>
      </xdr:nvSpPr>
      <xdr:spPr>
        <a:xfrm>
          <a:off x="510536" y="1867728"/>
          <a:ext cx="360829" cy="35793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3</xdr:col>
      <xdr:colOff>1042147</xdr:colOff>
      <xdr:row>10</xdr:row>
      <xdr:rowOff>89645</xdr:rowOff>
    </xdr:from>
    <xdr:to>
      <xdr:col>3</xdr:col>
      <xdr:colOff>1762147</xdr:colOff>
      <xdr:row>11</xdr:row>
      <xdr:rowOff>214322</xdr:rowOff>
    </xdr:to>
    <xdr:sp macro="[0]!DesprotegerHojaActual" textlink="">
      <xdr:nvSpPr>
        <xdr:cNvPr id="14" name="13 Rectángulo"/>
        <xdr:cNvSpPr/>
      </xdr:nvSpPr>
      <xdr:spPr>
        <a:xfrm>
          <a:off x="2308412" y="1904998"/>
          <a:ext cx="720000" cy="360000"/>
        </a:xfrm>
        <a:prstGeom prst="rect">
          <a:avLst/>
        </a:prstGeom>
        <a:solidFill>
          <a:srgbClr val="99CC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ysClr val="windowText" lastClr="000000"/>
              </a:solidFill>
            </a:rPr>
            <a:t>MANUAL</a:t>
          </a:r>
        </a:p>
      </xdr:txBody>
    </xdr:sp>
    <xdr:clientData fPrintsWithSheet="0"/>
  </xdr:twoCellAnchor>
  <xdr:twoCellAnchor>
    <xdr:from>
      <xdr:col>80</xdr:col>
      <xdr:colOff>78442</xdr:colOff>
      <xdr:row>7</xdr:row>
      <xdr:rowOff>112059</xdr:rowOff>
    </xdr:from>
    <xdr:to>
      <xdr:col>80</xdr:col>
      <xdr:colOff>582706</xdr:colOff>
      <xdr:row>7</xdr:row>
      <xdr:rowOff>123265</xdr:rowOff>
    </xdr:to>
    <xdr:cxnSp macro="">
      <xdr:nvCxnSpPr>
        <xdr:cNvPr id="15" name="14 Conector recto de flecha"/>
        <xdr:cNvCxnSpPr/>
      </xdr:nvCxnSpPr>
      <xdr:spPr>
        <a:xfrm>
          <a:off x="11575677" y="1355912"/>
          <a:ext cx="504264" cy="11206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100853</xdr:colOff>
      <xdr:row>71</xdr:row>
      <xdr:rowOff>67235</xdr:rowOff>
    </xdr:from>
    <xdr:to>
      <xdr:col>3</xdr:col>
      <xdr:colOff>1180853</xdr:colOff>
      <xdr:row>72</xdr:row>
      <xdr:rowOff>180706</xdr:rowOff>
    </xdr:to>
    <xdr:sp macro="[0]!configurar_asistencia" textlink="">
      <xdr:nvSpPr>
        <xdr:cNvPr id="18" name="17 Rectángulo"/>
        <xdr:cNvSpPr/>
      </xdr:nvSpPr>
      <xdr:spPr>
        <a:xfrm>
          <a:off x="1367118" y="18680206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413164</xdr:colOff>
      <xdr:row>10</xdr:row>
      <xdr:rowOff>53068</xdr:rowOff>
    </xdr:from>
    <xdr:to>
      <xdr:col>3</xdr:col>
      <xdr:colOff>293179</xdr:colOff>
      <xdr:row>10</xdr:row>
      <xdr:rowOff>413068</xdr:rowOff>
    </xdr:to>
    <xdr:sp macro="" textlink="">
      <xdr:nvSpPr>
        <xdr:cNvPr id="14" name="13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/>
      </xdr:nvSpPr>
      <xdr:spPr>
        <a:xfrm>
          <a:off x="1775239" y="3043918"/>
          <a:ext cx="870615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ASISTENCIA</a:t>
          </a:r>
        </a:p>
      </xdr:txBody>
    </xdr:sp>
    <xdr:clientData fPrintsWithSheet="0"/>
  </xdr:twoCellAnchor>
  <xdr:twoCellAnchor>
    <xdr:from>
      <xdr:col>1</xdr:col>
      <xdr:colOff>759083</xdr:colOff>
      <xdr:row>10</xdr:row>
      <xdr:rowOff>53068</xdr:rowOff>
    </xdr:from>
    <xdr:to>
      <xdr:col>2</xdr:col>
      <xdr:colOff>294119</xdr:colOff>
      <xdr:row>10</xdr:row>
      <xdr:rowOff>413068</xdr:rowOff>
    </xdr:to>
    <xdr:sp macro="" textlink="">
      <xdr:nvSpPr>
        <xdr:cNvPr id="15" name="14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/>
      </xdr:nvSpPr>
      <xdr:spPr>
        <a:xfrm>
          <a:off x="1073408" y="3043918"/>
          <a:ext cx="582786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INICIO</a:t>
          </a:r>
        </a:p>
      </xdr:txBody>
    </xdr:sp>
    <xdr:clientData fPrintsWithSheet="0"/>
  </xdr:twoCellAnchor>
  <xdr:twoCellAnchor editAs="absolute">
    <xdr:from>
      <xdr:col>4</xdr:col>
      <xdr:colOff>40821</xdr:colOff>
      <xdr:row>6</xdr:row>
      <xdr:rowOff>95250</xdr:rowOff>
    </xdr:from>
    <xdr:to>
      <xdr:col>4</xdr:col>
      <xdr:colOff>400821</xdr:colOff>
      <xdr:row>8</xdr:row>
      <xdr:rowOff>47780</xdr:rowOff>
    </xdr:to>
    <xdr:sp macro="[0]!borrar_asistencia" textlink="">
      <xdr:nvSpPr>
        <xdr:cNvPr id="11" name="10 Proceso alternativo"/>
        <xdr:cNvSpPr/>
      </xdr:nvSpPr>
      <xdr:spPr>
        <a:xfrm>
          <a:off x="3741964" y="1714500"/>
          <a:ext cx="360000" cy="469601"/>
        </a:xfrm>
        <a:prstGeom prst="flowChartAlternateProcess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>
              <a:sym typeface="Wingdings"/>
            </a:rPr>
            <a:t></a:t>
          </a:r>
          <a:endParaRPr lang="es-BO" sz="2000" b="1"/>
        </a:p>
      </xdr:txBody>
    </xdr:sp>
    <xdr:clientData fPrintsWithSheet="0"/>
  </xdr:twoCellAnchor>
  <xdr:twoCellAnchor>
    <xdr:from>
      <xdr:col>4</xdr:col>
      <xdr:colOff>49694</xdr:colOff>
      <xdr:row>8</xdr:row>
      <xdr:rowOff>149087</xdr:rowOff>
    </xdr:from>
    <xdr:to>
      <xdr:col>4</xdr:col>
      <xdr:colOff>409694</xdr:colOff>
      <xdr:row>9</xdr:row>
      <xdr:rowOff>360326</xdr:rowOff>
    </xdr:to>
    <xdr:sp macro="[0]!añadir_asistencia2" textlink="">
      <xdr:nvSpPr>
        <xdr:cNvPr id="13" name="12 Rectángulo redondeado"/>
        <xdr:cNvSpPr/>
      </xdr:nvSpPr>
      <xdr:spPr>
        <a:xfrm>
          <a:off x="3760303" y="2286000"/>
          <a:ext cx="360000" cy="46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400" b="1">
              <a:sym typeface="Wingdings"/>
            </a:rPr>
            <a:t></a:t>
          </a:r>
          <a:endParaRPr lang="es-BO" sz="1100" b="1"/>
        </a:p>
      </xdr:txBody>
    </xdr:sp>
    <xdr:clientData fPrintsWithSheet="0"/>
  </xdr:twoCellAnchor>
  <xdr:twoCellAnchor>
    <xdr:from>
      <xdr:col>0</xdr:col>
      <xdr:colOff>121104</xdr:colOff>
      <xdr:row>10</xdr:row>
      <xdr:rowOff>64354</xdr:rowOff>
    </xdr:from>
    <xdr:to>
      <xdr:col>1</xdr:col>
      <xdr:colOff>165179</xdr:colOff>
      <xdr:row>10</xdr:row>
      <xdr:rowOff>413068</xdr:rowOff>
    </xdr:to>
    <xdr:sp macro="[0]!mostrar_lista_NOTAS" textlink="">
      <xdr:nvSpPr>
        <xdr:cNvPr id="9" name="8 Rectángulo"/>
        <xdr:cNvSpPr/>
      </xdr:nvSpPr>
      <xdr:spPr>
        <a:xfrm>
          <a:off x="121104" y="3055204"/>
          <a:ext cx="358400" cy="3487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284224</xdr:colOff>
      <xdr:row>10</xdr:row>
      <xdr:rowOff>64354</xdr:rowOff>
    </xdr:from>
    <xdr:to>
      <xdr:col>1</xdr:col>
      <xdr:colOff>640038</xdr:colOff>
      <xdr:row>10</xdr:row>
      <xdr:rowOff>413068</xdr:rowOff>
    </xdr:to>
    <xdr:sp macro="[0]!ocultar_lista_NOTAS" textlink="">
      <xdr:nvSpPr>
        <xdr:cNvPr id="10" name="9 Rectángulo"/>
        <xdr:cNvSpPr/>
      </xdr:nvSpPr>
      <xdr:spPr>
        <a:xfrm>
          <a:off x="598549" y="3055204"/>
          <a:ext cx="355814" cy="348714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0</xdr:colOff>
      <xdr:row>74</xdr:row>
      <xdr:rowOff>190500</xdr:rowOff>
    </xdr:from>
    <xdr:to>
      <xdr:col>2</xdr:col>
      <xdr:colOff>26647</xdr:colOff>
      <xdr:row>76</xdr:row>
      <xdr:rowOff>56029</xdr:rowOff>
    </xdr:to>
    <xdr:sp macro="[0]!configurar_criterios" textlink="">
      <xdr:nvSpPr>
        <xdr:cNvPr id="17" name="16 Rectángulo"/>
        <xdr:cNvSpPr/>
      </xdr:nvSpPr>
      <xdr:spPr>
        <a:xfrm>
          <a:off x="313765" y="22445382"/>
          <a:ext cx="1080000" cy="358588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270930</xdr:colOff>
      <xdr:row>10</xdr:row>
      <xdr:rowOff>98561</xdr:rowOff>
    </xdr:from>
    <xdr:to>
      <xdr:col>3</xdr:col>
      <xdr:colOff>238605</xdr:colOff>
      <xdr:row>11</xdr:row>
      <xdr:rowOff>220436</xdr:rowOff>
    </xdr:to>
    <xdr:sp macro="" textlink="">
      <xdr:nvSpPr>
        <xdr:cNvPr id="6" name="5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918630" y="1879736"/>
          <a:ext cx="586800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3</xdr:col>
      <xdr:colOff>299820</xdr:colOff>
      <xdr:row>10</xdr:row>
      <xdr:rowOff>98561</xdr:rowOff>
    </xdr:from>
    <xdr:to>
      <xdr:col>3</xdr:col>
      <xdr:colOff>908220</xdr:colOff>
      <xdr:row>11</xdr:row>
      <xdr:rowOff>220436</xdr:rowOff>
    </xdr:to>
    <xdr:sp macro="" textlink="">
      <xdr:nvSpPr>
        <xdr:cNvPr id="7" name="6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1566645" y="1879736"/>
          <a:ext cx="608400" cy="360000"/>
        </a:xfrm>
        <a:prstGeom prst="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NOTAS</a:t>
          </a:r>
        </a:p>
      </xdr:txBody>
    </xdr:sp>
    <xdr:clientData fPrintsWithSheet="0"/>
  </xdr:twoCellAnchor>
  <xdr:twoCellAnchor>
    <xdr:from>
      <xdr:col>0</xdr:col>
      <xdr:colOff>76200</xdr:colOff>
      <xdr:row>10</xdr:row>
      <xdr:rowOff>98561</xdr:rowOff>
    </xdr:from>
    <xdr:to>
      <xdr:col>1</xdr:col>
      <xdr:colOff>112350</xdr:colOff>
      <xdr:row>11</xdr:row>
      <xdr:rowOff>220436</xdr:rowOff>
    </xdr:to>
    <xdr:sp macro="[0]!mostrar_lista_ASIST" textlink="">
      <xdr:nvSpPr>
        <xdr:cNvPr id="11" name="10 Rectángulo"/>
        <xdr:cNvSpPr/>
      </xdr:nvSpPr>
      <xdr:spPr>
        <a:xfrm>
          <a:off x="76200" y="1879736"/>
          <a:ext cx="360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173565</xdr:colOff>
      <xdr:row>10</xdr:row>
      <xdr:rowOff>98561</xdr:rowOff>
    </xdr:from>
    <xdr:to>
      <xdr:col>2</xdr:col>
      <xdr:colOff>209715</xdr:colOff>
      <xdr:row>11</xdr:row>
      <xdr:rowOff>220436</xdr:rowOff>
    </xdr:to>
    <xdr:sp macro="[0]!ocultar_lista_ASIST" textlink="">
      <xdr:nvSpPr>
        <xdr:cNvPr id="12" name="11 Rectángulo"/>
        <xdr:cNvSpPr/>
      </xdr:nvSpPr>
      <xdr:spPr>
        <a:xfrm>
          <a:off x="497415" y="1879736"/>
          <a:ext cx="360000" cy="3600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3</xdr:col>
      <xdr:colOff>986117</xdr:colOff>
      <xdr:row>10</xdr:row>
      <xdr:rowOff>100851</xdr:rowOff>
    </xdr:from>
    <xdr:to>
      <xdr:col>3</xdr:col>
      <xdr:colOff>1706117</xdr:colOff>
      <xdr:row>11</xdr:row>
      <xdr:rowOff>225528</xdr:rowOff>
    </xdr:to>
    <xdr:sp macro="[0]!DesprotegerHojaActual" textlink="">
      <xdr:nvSpPr>
        <xdr:cNvPr id="14" name="13 Rectángulo"/>
        <xdr:cNvSpPr/>
      </xdr:nvSpPr>
      <xdr:spPr>
        <a:xfrm>
          <a:off x="2252382" y="1916204"/>
          <a:ext cx="720000" cy="360000"/>
        </a:xfrm>
        <a:prstGeom prst="rect">
          <a:avLst/>
        </a:prstGeom>
        <a:solidFill>
          <a:srgbClr val="99CCFF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solidFill>
                <a:sysClr val="windowText" lastClr="000000"/>
              </a:solidFill>
            </a:rPr>
            <a:t>MANUAL</a:t>
          </a:r>
        </a:p>
      </xdr:txBody>
    </xdr:sp>
    <xdr:clientData fPrintsWithSheet="0"/>
  </xdr:twoCellAnchor>
  <xdr:twoCellAnchor>
    <xdr:from>
      <xdr:col>80</xdr:col>
      <xdr:colOff>89647</xdr:colOff>
      <xdr:row>7</xdr:row>
      <xdr:rowOff>134471</xdr:rowOff>
    </xdr:from>
    <xdr:to>
      <xdr:col>80</xdr:col>
      <xdr:colOff>504265</xdr:colOff>
      <xdr:row>7</xdr:row>
      <xdr:rowOff>134471</xdr:rowOff>
    </xdr:to>
    <xdr:cxnSp macro="">
      <xdr:nvCxnSpPr>
        <xdr:cNvPr id="15" name="14 Conector recto de flecha"/>
        <xdr:cNvCxnSpPr/>
      </xdr:nvCxnSpPr>
      <xdr:spPr>
        <a:xfrm>
          <a:off x="19610294" y="1378324"/>
          <a:ext cx="414618" cy="0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168089</xdr:colOff>
      <xdr:row>71</xdr:row>
      <xdr:rowOff>56029</xdr:rowOff>
    </xdr:from>
    <xdr:to>
      <xdr:col>3</xdr:col>
      <xdr:colOff>1248089</xdr:colOff>
      <xdr:row>72</xdr:row>
      <xdr:rowOff>169500</xdr:rowOff>
    </xdr:to>
    <xdr:sp macro="[0]!configurar_asistencia" textlink="">
      <xdr:nvSpPr>
        <xdr:cNvPr id="18" name="17 Rectángulo"/>
        <xdr:cNvSpPr/>
      </xdr:nvSpPr>
      <xdr:spPr>
        <a:xfrm>
          <a:off x="1434354" y="18669000"/>
          <a:ext cx="1080000" cy="3600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CONFIGURAR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450539</xdr:colOff>
      <xdr:row>10</xdr:row>
      <xdr:rowOff>72495</xdr:rowOff>
    </xdr:from>
    <xdr:to>
      <xdr:col>3</xdr:col>
      <xdr:colOff>266627</xdr:colOff>
      <xdr:row>10</xdr:row>
      <xdr:rowOff>432495</xdr:rowOff>
    </xdr:to>
    <xdr:sp macro="" textlink="">
      <xdr:nvSpPr>
        <xdr:cNvPr id="14" name="13 Rectángul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SpPr/>
      </xdr:nvSpPr>
      <xdr:spPr>
        <a:xfrm>
          <a:off x="1817169" y="3045952"/>
          <a:ext cx="810001" cy="360000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ASISTENCIA</a:t>
          </a:r>
        </a:p>
      </xdr:txBody>
    </xdr:sp>
    <xdr:clientData fPrintsWithSheet="0"/>
  </xdr:twoCellAnchor>
  <xdr:twoCellAnchor>
    <xdr:from>
      <xdr:col>1</xdr:col>
      <xdr:colOff>788881</xdr:colOff>
      <xdr:row>10</xdr:row>
      <xdr:rowOff>72495</xdr:rowOff>
    </xdr:from>
    <xdr:to>
      <xdr:col>2</xdr:col>
      <xdr:colOff>299638</xdr:colOff>
      <xdr:row>10</xdr:row>
      <xdr:rowOff>432495</xdr:rowOff>
    </xdr:to>
    <xdr:sp macro="" textlink="">
      <xdr:nvSpPr>
        <xdr:cNvPr id="15" name="14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SpPr/>
      </xdr:nvSpPr>
      <xdr:spPr>
        <a:xfrm>
          <a:off x="1103620" y="3045952"/>
          <a:ext cx="562648" cy="3600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 b="1"/>
            <a:t>INICIO</a:t>
          </a:r>
          <a:endParaRPr lang="es-ES" sz="1100" b="1"/>
        </a:p>
      </xdr:txBody>
    </xdr:sp>
    <xdr:clientData fPrintsWithSheet="0"/>
  </xdr:twoCellAnchor>
  <xdr:twoCellAnchor editAs="absolute">
    <xdr:from>
      <xdr:col>4</xdr:col>
      <xdr:colOff>40821</xdr:colOff>
      <xdr:row>6</xdr:row>
      <xdr:rowOff>108856</xdr:rowOff>
    </xdr:from>
    <xdr:to>
      <xdr:col>4</xdr:col>
      <xdr:colOff>400821</xdr:colOff>
      <xdr:row>8</xdr:row>
      <xdr:rowOff>61386</xdr:rowOff>
    </xdr:to>
    <xdr:sp macro="[0]!borrar_asistencia" textlink="">
      <xdr:nvSpPr>
        <xdr:cNvPr id="11" name="10 Proceso alternativo"/>
        <xdr:cNvSpPr/>
      </xdr:nvSpPr>
      <xdr:spPr>
        <a:xfrm>
          <a:off x="3741964" y="1728106"/>
          <a:ext cx="360000" cy="469601"/>
        </a:xfrm>
        <a:prstGeom prst="flowChartAlternateProcess">
          <a:avLst/>
        </a:prstGeom>
        <a:solidFill>
          <a:srgbClr val="00B05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000" b="1">
              <a:sym typeface="Wingdings"/>
            </a:rPr>
            <a:t></a:t>
          </a:r>
          <a:endParaRPr lang="es-BO" sz="2000" b="1"/>
        </a:p>
      </xdr:txBody>
    </xdr:sp>
    <xdr:clientData fPrintsWithSheet="0"/>
  </xdr:twoCellAnchor>
  <xdr:twoCellAnchor>
    <xdr:from>
      <xdr:col>4</xdr:col>
      <xdr:colOff>46131</xdr:colOff>
      <xdr:row>8</xdr:row>
      <xdr:rowOff>190497</xdr:rowOff>
    </xdr:from>
    <xdr:to>
      <xdr:col>4</xdr:col>
      <xdr:colOff>406131</xdr:colOff>
      <xdr:row>9</xdr:row>
      <xdr:rowOff>401736</xdr:rowOff>
    </xdr:to>
    <xdr:sp macro="[0]!añadir_asistencia3" textlink="">
      <xdr:nvSpPr>
        <xdr:cNvPr id="13" name="12 Rectángulo redondeado"/>
        <xdr:cNvSpPr/>
      </xdr:nvSpPr>
      <xdr:spPr>
        <a:xfrm>
          <a:off x="3756740" y="2327410"/>
          <a:ext cx="360000" cy="468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2400" b="1">
              <a:sym typeface="Wingdings"/>
            </a:rPr>
            <a:t></a:t>
          </a:r>
          <a:endParaRPr lang="es-BO" sz="1100" b="1"/>
        </a:p>
      </xdr:txBody>
    </xdr:sp>
    <xdr:clientData fPrintsWithSheet="0"/>
  </xdr:twoCellAnchor>
  <xdr:twoCellAnchor>
    <xdr:from>
      <xdr:col>0</xdr:col>
      <xdr:colOff>87923</xdr:colOff>
      <xdr:row>10</xdr:row>
      <xdr:rowOff>79699</xdr:rowOff>
    </xdr:from>
    <xdr:to>
      <xdr:col>1</xdr:col>
      <xdr:colOff>131265</xdr:colOff>
      <xdr:row>10</xdr:row>
      <xdr:rowOff>432495</xdr:rowOff>
    </xdr:to>
    <xdr:sp macro="[0]!mostrar_lista_NOTAS" textlink="">
      <xdr:nvSpPr>
        <xdr:cNvPr id="9" name="8 Rectángulo"/>
        <xdr:cNvSpPr/>
      </xdr:nvSpPr>
      <xdr:spPr>
        <a:xfrm>
          <a:off x="87923" y="3053156"/>
          <a:ext cx="358081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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282166</xdr:colOff>
      <xdr:row>10</xdr:row>
      <xdr:rowOff>79699</xdr:rowOff>
    </xdr:from>
    <xdr:to>
      <xdr:col>1</xdr:col>
      <xdr:colOff>637980</xdr:colOff>
      <xdr:row>10</xdr:row>
      <xdr:rowOff>432495</xdr:rowOff>
    </xdr:to>
    <xdr:sp macro="[0]!ocultar_lista_NOTAS" textlink="">
      <xdr:nvSpPr>
        <xdr:cNvPr id="10" name="9 Rectángulo"/>
        <xdr:cNvSpPr/>
      </xdr:nvSpPr>
      <xdr:spPr>
        <a:xfrm>
          <a:off x="596905" y="3053156"/>
          <a:ext cx="355814" cy="35279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BO" sz="1800" b="1">
              <a:latin typeface="Arial Black" pitchFamily="34" charset="0"/>
              <a:sym typeface="Wingdings"/>
            </a:rPr>
            <a:t></a:t>
          </a:r>
          <a:endParaRPr lang="es-BO" sz="1800" b="1">
            <a:latin typeface="Arial Black" pitchFamily="34" charset="0"/>
          </a:endParaRPr>
        </a:p>
      </xdr:txBody>
    </xdr:sp>
    <xdr:clientData fPrintsWithSheet="0"/>
  </xdr:twoCellAnchor>
  <xdr:twoCellAnchor>
    <xdr:from>
      <xdr:col>1</xdr:col>
      <xdr:colOff>0</xdr:colOff>
      <xdr:row>74</xdr:row>
      <xdr:rowOff>123265</xdr:rowOff>
    </xdr:from>
    <xdr:to>
      <xdr:col>2</xdr:col>
      <xdr:colOff>26647</xdr:colOff>
      <xdr:row>75</xdr:row>
      <xdr:rowOff>212911</xdr:rowOff>
    </xdr:to>
    <xdr:sp macro="[0]!configurar_criterios" textlink="">
      <xdr:nvSpPr>
        <xdr:cNvPr id="16" name="15 Rectángulo"/>
        <xdr:cNvSpPr/>
      </xdr:nvSpPr>
      <xdr:spPr>
        <a:xfrm>
          <a:off x="627529" y="24115059"/>
          <a:ext cx="2148794" cy="336176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CONFIGURAR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300770</xdr:colOff>
      <xdr:row>22</xdr:row>
      <xdr:rowOff>182538</xdr:rowOff>
    </xdr:from>
    <xdr:to>
      <xdr:col>13</xdr:col>
      <xdr:colOff>1344705</xdr:colOff>
      <xdr:row>31</xdr:row>
      <xdr:rowOff>470646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327213</xdr:colOff>
      <xdr:row>1</xdr:row>
      <xdr:rowOff>44264</xdr:rowOff>
    </xdr:from>
    <xdr:to>
      <xdr:col>17</xdr:col>
      <xdr:colOff>144017</xdr:colOff>
      <xdr:row>2</xdr:row>
      <xdr:rowOff>131644</xdr:rowOff>
    </xdr:to>
    <xdr:sp macro="" textlink="">
      <xdr:nvSpPr>
        <xdr:cNvPr id="7" name="6 Rectángulo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8213913" y="234764"/>
          <a:ext cx="712154" cy="27788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 fPrintsWithSheet="0"/>
  </xdr:twoCellAnchor>
  <xdr:twoCellAnchor>
    <xdr:from>
      <xdr:col>0</xdr:col>
      <xdr:colOff>68697</xdr:colOff>
      <xdr:row>15</xdr:row>
      <xdr:rowOff>173350</xdr:rowOff>
    </xdr:from>
    <xdr:to>
      <xdr:col>12</xdr:col>
      <xdr:colOff>33618</xdr:colOff>
      <xdr:row>19</xdr:row>
      <xdr:rowOff>2229971</xdr:rowOff>
    </xdr:to>
    <xdr:graphicFrame macro="">
      <xdr:nvGraphicFramePr>
        <xdr:cNvPr id="4" name="3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168087</xdr:colOff>
      <xdr:row>16</xdr:row>
      <xdr:rowOff>17929</xdr:rowOff>
    </xdr:from>
    <xdr:to>
      <xdr:col>17</xdr:col>
      <xdr:colOff>134469</xdr:colOff>
      <xdr:row>19</xdr:row>
      <xdr:rowOff>2151529</xdr:rowOff>
    </xdr:to>
    <xdr:graphicFrame macro="">
      <xdr:nvGraphicFramePr>
        <xdr:cNvPr id="5" name="4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11205</xdr:colOff>
      <xdr:row>34</xdr:row>
      <xdr:rowOff>174813</xdr:rowOff>
    </xdr:from>
    <xdr:to>
      <xdr:col>13</xdr:col>
      <xdr:colOff>1456764</xdr:colOff>
      <xdr:row>45</xdr:row>
      <xdr:rowOff>100853</xdr:rowOff>
    </xdr:to>
    <xdr:graphicFrame macro="">
      <xdr:nvGraphicFramePr>
        <xdr:cNvPr id="8" name="7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Personalizado 1">
      <a:dk1>
        <a:srgbClr val="000000"/>
      </a:dk1>
      <a:lt1>
        <a:srgbClr val="FFFFFF"/>
      </a:lt1>
      <a:dk2>
        <a:srgbClr val="434342"/>
      </a:dk2>
      <a:lt2>
        <a:srgbClr val="CDD7D9"/>
      </a:lt2>
      <a:accent1>
        <a:srgbClr val="797B7E"/>
      </a:accent1>
      <a:accent2>
        <a:srgbClr val="F96A1B"/>
      </a:accent2>
      <a:accent3>
        <a:srgbClr val="08A1D9"/>
      </a:accent3>
      <a:accent4>
        <a:srgbClr val="7C984A"/>
      </a:accent4>
      <a:accent5>
        <a:srgbClr val="FF5050"/>
      </a:accent5>
      <a:accent6>
        <a:srgbClr val="506E94"/>
      </a:accent6>
      <a:hlink>
        <a:srgbClr val="5F5F5F"/>
      </a:hlink>
      <a:folHlink>
        <a:srgbClr val="96969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FFC000"/>
    <pageSetUpPr fitToPage="1"/>
  </sheetPr>
  <dimension ref="A1:Z57"/>
  <sheetViews>
    <sheetView showGridLines="0" showRowColHeaders="0" tabSelected="1" zoomScale="85" zoomScaleNormal="85" workbookViewId="0">
      <selection activeCell="I1" sqref="I1"/>
    </sheetView>
  </sheetViews>
  <sheetFormatPr baseColWidth="10" defaultRowHeight="15"/>
  <cols>
    <col min="1" max="2" width="2.5" style="83" customWidth="1"/>
    <col min="3" max="3" width="3.75" style="83" customWidth="1"/>
    <col min="4" max="4" width="24" style="83" customWidth="1"/>
    <col min="5" max="5" width="40" style="83" customWidth="1"/>
    <col min="6" max="6" width="3.75" style="83" customWidth="1"/>
    <col min="7" max="8" width="2.5" style="83" customWidth="1"/>
    <col min="9" max="9" width="2.75" style="83" customWidth="1"/>
    <col min="10" max="10" width="2.625" style="83" customWidth="1"/>
    <col min="11" max="11" width="15.625" style="86" hidden="1" customWidth="1"/>
    <col min="12" max="12" width="10.875" style="86" hidden="1" customWidth="1"/>
    <col min="13" max="13" width="44" style="83" hidden="1" customWidth="1"/>
    <col min="14" max="14" width="12.25" style="83" hidden="1" customWidth="1"/>
    <col min="15" max="15" width="34.5" style="83" hidden="1" customWidth="1"/>
    <col min="16" max="20" width="11" style="83"/>
    <col min="21" max="21" width="11.75" style="83" customWidth="1"/>
    <col min="22" max="16384" width="11" style="83"/>
  </cols>
  <sheetData>
    <row r="1" spans="1:26">
      <c r="A1" s="515"/>
      <c r="B1" s="515"/>
      <c r="C1" s="515"/>
      <c r="D1" s="515"/>
      <c r="E1" s="515"/>
      <c r="F1" s="515"/>
      <c r="G1" s="515"/>
      <c r="H1" s="515"/>
      <c r="K1" s="86" t="s">
        <v>355</v>
      </c>
    </row>
    <row r="2" spans="1:26">
      <c r="A2" s="515"/>
      <c r="B2" s="515"/>
      <c r="C2" s="515"/>
      <c r="D2" s="515"/>
      <c r="E2" s="515"/>
      <c r="F2" s="515"/>
      <c r="G2" s="515"/>
      <c r="H2" s="515"/>
      <c r="K2" s="86" t="str">
        <f>IFERROR(VLOOKUP(E33,K10:L27,2)&amp;"-"&amp;VLOOKUP(E32,M10:N29,2),"SIN NOMBRE")</f>
        <v>SIN NOMBRE</v>
      </c>
    </row>
    <row r="3" spans="1:26">
      <c r="A3" s="515"/>
      <c r="B3" s="515"/>
      <c r="C3" s="515"/>
      <c r="D3" s="515"/>
      <c r="E3" s="515"/>
      <c r="F3" s="515"/>
      <c r="G3" s="515"/>
      <c r="H3" s="515"/>
    </row>
    <row r="4" spans="1:26">
      <c r="A4" s="515"/>
      <c r="B4" s="515"/>
      <c r="C4" s="515"/>
      <c r="D4" s="515"/>
      <c r="E4" s="515"/>
      <c r="F4" s="515"/>
      <c r="G4" s="515"/>
      <c r="H4" s="515"/>
    </row>
    <row r="5" spans="1:26">
      <c r="A5" s="515"/>
      <c r="B5" s="515"/>
      <c r="C5" s="515"/>
      <c r="D5" s="515"/>
      <c r="E5" s="515"/>
      <c r="F5" s="515"/>
      <c r="G5" s="515"/>
      <c r="H5" s="515"/>
    </row>
    <row r="6" spans="1:26">
      <c r="A6" s="515"/>
      <c r="B6" s="515"/>
      <c r="C6" s="516"/>
      <c r="D6" s="515"/>
      <c r="E6" s="515"/>
      <c r="F6" s="515"/>
      <c r="G6" s="515"/>
      <c r="H6" s="515"/>
      <c r="Z6" s="241"/>
    </row>
    <row r="7" spans="1:26">
      <c r="A7" s="515"/>
      <c r="B7" s="515"/>
      <c r="C7" s="516"/>
      <c r="D7" s="515"/>
      <c r="E7" s="515"/>
      <c r="F7" s="515"/>
      <c r="G7" s="515"/>
      <c r="H7" s="515"/>
      <c r="Z7" s="241"/>
    </row>
    <row r="8" spans="1:26" ht="22.5">
      <c r="A8" s="515"/>
      <c r="B8" s="515"/>
      <c r="C8" s="515"/>
      <c r="D8" s="550" t="s">
        <v>210</v>
      </c>
      <c r="E8" s="550"/>
      <c r="F8" s="515"/>
      <c r="G8" s="515"/>
      <c r="H8" s="515"/>
    </row>
    <row r="9" spans="1:26" s="85" customFormat="1" ht="19.5" customHeight="1">
      <c r="A9" s="517"/>
      <c r="B9" s="517"/>
      <c r="C9" s="517"/>
      <c r="D9" s="551" t="str">
        <f>E34</f>
        <v>SECUNDARIA COMUNITARIA PRODUCTIVA</v>
      </c>
      <c r="E9" s="551"/>
      <c r="F9" s="517"/>
      <c r="G9" s="517"/>
      <c r="H9" s="517"/>
      <c r="K9" s="113" t="s">
        <v>156</v>
      </c>
      <c r="L9" s="525" t="s">
        <v>317</v>
      </c>
      <c r="M9" s="113" t="s">
        <v>158</v>
      </c>
      <c r="N9" s="527" t="s">
        <v>317</v>
      </c>
      <c r="O9" s="113" t="s">
        <v>157</v>
      </c>
    </row>
    <row r="10" spans="1:26" s="85" customFormat="1" ht="19.5" customHeight="1">
      <c r="A10" s="517"/>
      <c r="B10" s="517"/>
      <c r="C10" s="517"/>
      <c r="D10" s="517"/>
      <c r="E10" s="517"/>
      <c r="F10" s="517"/>
      <c r="G10" s="517"/>
      <c r="H10" s="517"/>
      <c r="K10" s="26" t="s">
        <v>159</v>
      </c>
      <c r="L10" s="525" t="s">
        <v>318</v>
      </c>
      <c r="M10" s="86" t="s">
        <v>267</v>
      </c>
      <c r="N10" s="527" t="s">
        <v>336</v>
      </c>
      <c r="O10" s="26" t="s">
        <v>139</v>
      </c>
    </row>
    <row r="11" spans="1:26" s="85" customFormat="1" ht="19.5" customHeight="1">
      <c r="A11" s="517"/>
      <c r="B11" s="517"/>
      <c r="C11" s="517"/>
      <c r="D11" s="517"/>
      <c r="E11" s="517"/>
      <c r="F11" s="517"/>
      <c r="G11" s="517"/>
      <c r="H11" s="517"/>
      <c r="K11" s="26" t="s">
        <v>160</v>
      </c>
      <c r="L11" s="525" t="s">
        <v>319</v>
      </c>
      <c r="M11" s="26" t="s">
        <v>136</v>
      </c>
      <c r="N11" s="527" t="s">
        <v>337</v>
      </c>
      <c r="O11" s="26" t="s">
        <v>140</v>
      </c>
    </row>
    <row r="12" spans="1:26">
      <c r="A12" s="515"/>
      <c r="B12" s="515"/>
      <c r="C12" s="515"/>
      <c r="D12" s="515"/>
      <c r="E12" s="515"/>
      <c r="F12" s="515"/>
      <c r="G12" s="515"/>
      <c r="H12" s="515"/>
      <c r="K12" s="26" t="s">
        <v>161</v>
      </c>
      <c r="L12" s="526" t="s">
        <v>320</v>
      </c>
      <c r="M12" s="26" t="s">
        <v>263</v>
      </c>
      <c r="N12" s="526" t="s">
        <v>338</v>
      </c>
      <c r="O12" s="26" t="s">
        <v>141</v>
      </c>
    </row>
    <row r="13" spans="1:26">
      <c r="A13" s="515"/>
      <c r="B13" s="515"/>
      <c r="C13" s="515"/>
      <c r="D13" s="518"/>
      <c r="E13" s="518"/>
      <c r="F13" s="518"/>
      <c r="G13" s="515"/>
      <c r="H13" s="515"/>
      <c r="K13" s="26" t="s">
        <v>162</v>
      </c>
      <c r="L13" s="526" t="s">
        <v>321</v>
      </c>
      <c r="M13" s="26" t="s">
        <v>144</v>
      </c>
      <c r="N13" s="526" t="s">
        <v>338</v>
      </c>
      <c r="O13" s="26" t="s">
        <v>142</v>
      </c>
    </row>
    <row r="14" spans="1:26">
      <c r="A14" s="515"/>
      <c r="B14" s="515"/>
      <c r="C14" s="515"/>
      <c r="D14" s="518"/>
      <c r="E14" s="518"/>
      <c r="F14" s="518"/>
      <c r="G14" s="515"/>
      <c r="H14" s="515"/>
      <c r="K14" s="26" t="s">
        <v>163</v>
      </c>
      <c r="L14" s="526" t="s">
        <v>322</v>
      </c>
      <c r="M14" s="26" t="s">
        <v>135</v>
      </c>
      <c r="N14" s="526" t="s">
        <v>339</v>
      </c>
    </row>
    <row r="15" spans="1:26">
      <c r="A15" s="515"/>
      <c r="B15" s="515"/>
      <c r="C15" s="515"/>
      <c r="D15" s="518"/>
      <c r="E15" s="518"/>
      <c r="F15" s="518"/>
      <c r="G15" s="515"/>
      <c r="H15" s="515"/>
      <c r="K15" s="26" t="s">
        <v>164</v>
      </c>
      <c r="L15" s="526" t="s">
        <v>323</v>
      </c>
      <c r="M15" s="86" t="s">
        <v>266</v>
      </c>
      <c r="N15" s="526" t="s">
        <v>340</v>
      </c>
    </row>
    <row r="16" spans="1:26">
      <c r="A16" s="515"/>
      <c r="B16" s="515"/>
      <c r="C16" s="515"/>
      <c r="D16" s="518"/>
      <c r="E16" s="518"/>
      <c r="F16" s="518"/>
      <c r="G16" s="515"/>
      <c r="H16" s="515"/>
      <c r="K16" s="26" t="s">
        <v>165</v>
      </c>
      <c r="L16" s="526" t="s">
        <v>324</v>
      </c>
      <c r="M16" s="26" t="s">
        <v>133</v>
      </c>
      <c r="N16" s="526" t="s">
        <v>341</v>
      </c>
      <c r="O16" s="113"/>
    </row>
    <row r="17" spans="1:18">
      <c r="A17" s="515"/>
      <c r="B17" s="515"/>
      <c r="C17" s="515"/>
      <c r="D17" s="518"/>
      <c r="E17" s="518"/>
      <c r="F17" s="518"/>
      <c r="G17" s="515"/>
      <c r="H17" s="515"/>
      <c r="K17" s="26" t="s">
        <v>166</v>
      </c>
      <c r="L17" s="526" t="s">
        <v>325</v>
      </c>
      <c r="M17" s="26" t="s">
        <v>268</v>
      </c>
      <c r="N17" s="526" t="s">
        <v>342</v>
      </c>
      <c r="O17" s="113"/>
    </row>
    <row r="18" spans="1:18">
      <c r="A18" s="515"/>
      <c r="B18" s="515"/>
      <c r="C18" s="515"/>
      <c r="D18" s="518"/>
      <c r="E18" s="518"/>
      <c r="F18" s="518"/>
      <c r="G18" s="515"/>
      <c r="H18" s="515"/>
      <c r="K18" s="26" t="s">
        <v>167</v>
      </c>
      <c r="L18" s="526" t="s">
        <v>326</v>
      </c>
      <c r="M18" s="26" t="s">
        <v>143</v>
      </c>
      <c r="N18" s="526" t="s">
        <v>343</v>
      </c>
    </row>
    <row r="19" spans="1:18">
      <c r="A19" s="515"/>
      <c r="B19" s="515"/>
      <c r="C19" s="515"/>
      <c r="D19" s="518"/>
      <c r="E19" s="518"/>
      <c r="F19" s="518"/>
      <c r="G19" s="515"/>
      <c r="H19" s="515"/>
      <c r="K19" s="26" t="s">
        <v>168</v>
      </c>
      <c r="L19" s="526" t="s">
        <v>327</v>
      </c>
      <c r="M19" s="26" t="s">
        <v>137</v>
      </c>
      <c r="N19" s="526" t="s">
        <v>344</v>
      </c>
      <c r="O19" s="114"/>
    </row>
    <row r="20" spans="1:18">
      <c r="A20" s="515"/>
      <c r="B20" s="515"/>
      <c r="C20" s="515"/>
      <c r="D20" s="518"/>
      <c r="E20" s="518"/>
      <c r="F20" s="518"/>
      <c r="G20" s="515"/>
      <c r="H20" s="515"/>
      <c r="K20" s="26" t="s">
        <v>169</v>
      </c>
      <c r="L20" s="526" t="s">
        <v>328</v>
      </c>
      <c r="M20" s="26" t="s">
        <v>146</v>
      </c>
      <c r="N20" s="526" t="s">
        <v>345</v>
      </c>
    </row>
    <row r="21" spans="1:18">
      <c r="A21" s="515"/>
      <c r="B21" s="515"/>
      <c r="C21" s="515"/>
      <c r="D21" s="518"/>
      <c r="E21" s="518"/>
      <c r="F21" s="518"/>
      <c r="G21" s="515"/>
      <c r="H21" s="515"/>
      <c r="K21" s="26" t="s">
        <v>170</v>
      </c>
      <c r="L21" s="526" t="s">
        <v>329</v>
      </c>
      <c r="M21" s="26" t="s">
        <v>226</v>
      </c>
      <c r="N21" s="526" t="s">
        <v>346</v>
      </c>
    </row>
    <row r="22" spans="1:18">
      <c r="A22" s="515"/>
      <c r="B22" s="515"/>
      <c r="C22" s="515"/>
      <c r="D22" s="518"/>
      <c r="E22" s="518"/>
      <c r="F22" s="518"/>
      <c r="G22" s="515"/>
      <c r="H22" s="515"/>
      <c r="K22" s="26" t="s">
        <v>171</v>
      </c>
      <c r="L22" s="526" t="s">
        <v>330</v>
      </c>
      <c r="M22" s="26" t="s">
        <v>145</v>
      </c>
      <c r="N22" s="526" t="s">
        <v>347</v>
      </c>
      <c r="O22" s="114"/>
    </row>
    <row r="23" spans="1:18">
      <c r="A23" s="515"/>
      <c r="B23" s="515"/>
      <c r="C23" s="515"/>
      <c r="D23" s="515"/>
      <c r="E23" s="515"/>
      <c r="F23" s="515"/>
      <c r="G23" s="515"/>
      <c r="H23" s="515"/>
      <c r="K23" s="26" t="s">
        <v>172</v>
      </c>
      <c r="L23" s="526" t="s">
        <v>331</v>
      </c>
      <c r="M23" s="26" t="s">
        <v>262</v>
      </c>
      <c r="N23" s="526" t="s">
        <v>348</v>
      </c>
    </row>
    <row r="24" spans="1:18">
      <c r="A24" s="515"/>
      <c r="B24" s="515"/>
      <c r="C24" s="515"/>
      <c r="D24" s="515"/>
      <c r="E24" s="515"/>
      <c r="F24" s="515"/>
      <c r="G24" s="515"/>
      <c r="H24" s="515"/>
      <c r="K24" s="26" t="s">
        <v>173</v>
      </c>
      <c r="L24" s="526" t="s">
        <v>332</v>
      </c>
      <c r="M24" s="26" t="s">
        <v>261</v>
      </c>
      <c r="N24" s="526" t="s">
        <v>349</v>
      </c>
    </row>
    <row r="25" spans="1:18">
      <c r="A25" s="515"/>
      <c r="B25" s="515"/>
      <c r="C25" s="515"/>
      <c r="D25" s="515"/>
      <c r="E25" s="515"/>
      <c r="F25" s="515"/>
      <c r="G25" s="515"/>
      <c r="H25" s="515"/>
      <c r="K25" s="26" t="s">
        <v>174</v>
      </c>
      <c r="L25" s="526" t="s">
        <v>333</v>
      </c>
      <c r="M25" s="26" t="s">
        <v>134</v>
      </c>
      <c r="N25" s="526" t="s">
        <v>350</v>
      </c>
      <c r="O25" s="87"/>
    </row>
    <row r="26" spans="1:18">
      <c r="A26" s="515"/>
      <c r="B26" s="515"/>
      <c r="C26" s="519"/>
      <c r="D26" s="520"/>
      <c r="E26" s="520"/>
      <c r="F26" s="520"/>
      <c r="G26" s="515"/>
      <c r="H26" s="515"/>
      <c r="K26" s="86" t="s">
        <v>175</v>
      </c>
      <c r="L26" s="526" t="s">
        <v>334</v>
      </c>
      <c r="M26" s="26" t="s">
        <v>8</v>
      </c>
      <c r="N26" s="526" t="s">
        <v>351</v>
      </c>
      <c r="O26" s="87"/>
    </row>
    <row r="27" spans="1:18">
      <c r="A27" s="515"/>
      <c r="B27" s="515"/>
      <c r="C27" s="519"/>
      <c r="D27" s="521" t="s">
        <v>147</v>
      </c>
      <c r="E27" s="523"/>
      <c r="F27" s="522"/>
      <c r="G27" s="515"/>
      <c r="H27" s="515"/>
      <c r="K27" s="26" t="s">
        <v>176</v>
      </c>
      <c r="L27" s="526" t="s">
        <v>335</v>
      </c>
      <c r="M27" s="26" t="s">
        <v>227</v>
      </c>
      <c r="N27" s="526" t="s">
        <v>352</v>
      </c>
      <c r="O27" s="87"/>
    </row>
    <row r="28" spans="1:18">
      <c r="A28" s="515"/>
      <c r="B28" s="515"/>
      <c r="C28" s="519"/>
      <c r="D28" s="521" t="s">
        <v>148</v>
      </c>
      <c r="E28" s="523"/>
      <c r="F28" s="522"/>
      <c r="G28" s="515"/>
      <c r="H28" s="515"/>
      <c r="M28" s="26" t="s">
        <v>265</v>
      </c>
      <c r="N28" s="526" t="s">
        <v>353</v>
      </c>
      <c r="O28" s="87"/>
      <c r="P28" s="300"/>
    </row>
    <row r="29" spans="1:18">
      <c r="A29" s="515"/>
      <c r="B29" s="515"/>
      <c r="C29" s="519"/>
      <c r="D29" s="521" t="s">
        <v>149</v>
      </c>
      <c r="E29" s="523"/>
      <c r="F29" s="522"/>
      <c r="G29" s="515"/>
      <c r="H29" s="515"/>
      <c r="M29" s="26" t="s">
        <v>138</v>
      </c>
      <c r="N29" s="526" t="s">
        <v>354</v>
      </c>
      <c r="O29" s="87"/>
      <c r="P29" s="300"/>
      <c r="R29" s="300"/>
    </row>
    <row r="30" spans="1:18">
      <c r="A30" s="515"/>
      <c r="B30" s="515"/>
      <c r="C30" s="519"/>
      <c r="D30" s="521" t="s">
        <v>155</v>
      </c>
      <c r="E30" s="524" t="s">
        <v>359</v>
      </c>
      <c r="F30" s="522"/>
      <c r="G30" s="515"/>
      <c r="H30" s="515"/>
      <c r="L30" s="26"/>
      <c r="M30" s="86"/>
      <c r="N30" s="87"/>
      <c r="O30" s="87"/>
      <c r="P30" s="300"/>
    </row>
    <row r="31" spans="1:18">
      <c r="A31" s="515"/>
      <c r="B31" s="515"/>
      <c r="C31" s="519"/>
      <c r="D31" s="521" t="s">
        <v>25</v>
      </c>
      <c r="E31" s="523"/>
      <c r="F31" s="522"/>
      <c r="G31" s="515"/>
      <c r="H31" s="515"/>
      <c r="K31" s="26"/>
      <c r="L31" s="26"/>
      <c r="M31" s="86"/>
      <c r="N31" s="87"/>
      <c r="O31" s="87"/>
    </row>
    <row r="32" spans="1:18">
      <c r="A32" s="515"/>
      <c r="B32" s="515"/>
      <c r="C32" s="519"/>
      <c r="D32" s="521" t="s">
        <v>27</v>
      </c>
      <c r="E32" s="523"/>
      <c r="F32" s="522"/>
      <c r="G32" s="515"/>
      <c r="H32" s="515"/>
      <c r="M32" s="86"/>
      <c r="N32" s="87"/>
      <c r="O32" s="87"/>
      <c r="Q32" s="552" t="s">
        <v>358</v>
      </c>
    </row>
    <row r="33" spans="1:17">
      <c r="A33" s="515"/>
      <c r="B33" s="515"/>
      <c r="C33" s="519"/>
      <c r="D33" s="521" t="s">
        <v>150</v>
      </c>
      <c r="E33" s="523"/>
      <c r="F33" s="522"/>
      <c r="G33" s="515"/>
      <c r="H33" s="515"/>
      <c r="M33" s="86"/>
      <c r="P33" s="307"/>
      <c r="Q33" s="552"/>
    </row>
    <row r="34" spans="1:17" ht="18.75">
      <c r="A34" s="515"/>
      <c r="B34" s="515"/>
      <c r="C34" s="519"/>
      <c r="D34" s="521" t="s">
        <v>151</v>
      </c>
      <c r="E34" s="523" t="s">
        <v>270</v>
      </c>
      <c r="F34" s="522"/>
      <c r="G34" s="515"/>
      <c r="H34" s="515"/>
      <c r="K34" s="387" t="s">
        <v>273</v>
      </c>
      <c r="L34" s="346" t="s">
        <v>269</v>
      </c>
      <c r="M34" s="86"/>
      <c r="Q34" s="547">
        <v>30</v>
      </c>
    </row>
    <row r="35" spans="1:17">
      <c r="A35" s="515"/>
      <c r="B35" s="515"/>
      <c r="C35" s="519"/>
      <c r="D35" s="521" t="s">
        <v>152</v>
      </c>
      <c r="E35" s="523"/>
      <c r="F35" s="522"/>
      <c r="G35" s="515"/>
      <c r="H35" s="515"/>
      <c r="K35" s="86" t="s">
        <v>274</v>
      </c>
      <c r="L35" s="86" t="s">
        <v>264</v>
      </c>
      <c r="M35" s="86"/>
    </row>
    <row r="36" spans="1:17">
      <c r="A36" s="515"/>
      <c r="B36" s="515"/>
      <c r="C36" s="519"/>
      <c r="D36" s="521" t="s">
        <v>153</v>
      </c>
      <c r="E36" s="524">
        <v>2025</v>
      </c>
      <c r="F36" s="522"/>
      <c r="G36" s="515"/>
      <c r="H36" s="515"/>
      <c r="K36" s="86" t="s">
        <v>271</v>
      </c>
      <c r="L36" s="86" t="s">
        <v>270</v>
      </c>
      <c r="M36" s="86"/>
    </row>
    <row r="37" spans="1:17">
      <c r="A37" s="515"/>
      <c r="B37" s="515"/>
      <c r="C37" s="519"/>
      <c r="D37" s="520"/>
      <c r="E37" s="520"/>
      <c r="F37" s="520"/>
      <c r="G37" s="515"/>
      <c r="H37" s="515"/>
      <c r="K37" s="86" t="s">
        <v>275</v>
      </c>
      <c r="M37" s="86"/>
    </row>
    <row r="38" spans="1:17">
      <c r="A38" s="515"/>
      <c r="B38" s="515"/>
      <c r="C38" s="515"/>
      <c r="D38" s="515"/>
      <c r="E38" s="515"/>
      <c r="F38" s="515"/>
      <c r="G38" s="515"/>
      <c r="H38" s="515"/>
    </row>
    <row r="39" spans="1:17">
      <c r="A39" s="515"/>
      <c r="B39" s="515"/>
      <c r="C39" s="515"/>
      <c r="D39" s="549" t="s">
        <v>154</v>
      </c>
      <c r="E39" s="549"/>
      <c r="F39" s="515"/>
      <c r="G39" s="515"/>
      <c r="H39" s="515"/>
    </row>
    <row r="40" spans="1:17">
      <c r="A40" s="515"/>
      <c r="B40" s="515"/>
      <c r="C40" s="515"/>
      <c r="D40" s="515"/>
      <c r="E40" s="515"/>
      <c r="F40" s="515"/>
      <c r="G40" s="515"/>
      <c r="H40" s="515"/>
    </row>
    <row r="41" spans="1:17">
      <c r="A41" s="515"/>
      <c r="B41" s="515"/>
      <c r="C41" s="515"/>
      <c r="D41" s="515"/>
      <c r="E41" s="515"/>
      <c r="F41" s="515"/>
      <c r="G41" s="515"/>
      <c r="H41" s="515"/>
    </row>
    <row r="42" spans="1:17">
      <c r="A42" s="515"/>
      <c r="B42" s="515"/>
      <c r="C42" s="515"/>
      <c r="D42" s="515"/>
      <c r="E42" s="515"/>
      <c r="F42" s="515"/>
      <c r="G42" s="515"/>
      <c r="H42" s="515"/>
    </row>
    <row r="43" spans="1:17">
      <c r="A43" s="515"/>
      <c r="B43" s="515"/>
      <c r="C43" s="515"/>
      <c r="D43" s="515"/>
      <c r="E43" s="515"/>
      <c r="F43" s="515"/>
      <c r="G43" s="515"/>
      <c r="H43" s="515"/>
    </row>
    <row r="44" spans="1:17">
      <c r="A44" s="515"/>
      <c r="B44" s="515"/>
      <c r="C44" s="515"/>
      <c r="D44" s="515"/>
      <c r="E44" s="515"/>
      <c r="F44" s="515"/>
      <c r="G44" s="515"/>
      <c r="H44" s="515"/>
    </row>
    <row r="45" spans="1:17">
      <c r="A45" s="515"/>
      <c r="B45" s="515"/>
      <c r="C45" s="515"/>
      <c r="D45" s="515"/>
      <c r="E45" s="515"/>
      <c r="F45" s="515"/>
      <c r="G45" s="515"/>
      <c r="H45" s="515"/>
    </row>
    <row r="46" spans="1:17">
      <c r="A46" s="515"/>
      <c r="B46" s="515"/>
      <c r="C46" s="515"/>
      <c r="D46" s="515"/>
      <c r="E46" s="515"/>
      <c r="F46" s="515"/>
      <c r="G46" s="515"/>
      <c r="H46" s="515"/>
    </row>
    <row r="47" spans="1:17">
      <c r="A47" s="515"/>
      <c r="B47" s="515"/>
      <c r="C47" s="515"/>
      <c r="D47" s="515"/>
      <c r="E47" s="515"/>
      <c r="F47" s="515"/>
      <c r="G47" s="515"/>
      <c r="H47" s="515"/>
    </row>
    <row r="48" spans="1:17">
      <c r="A48" s="515"/>
      <c r="B48" s="515"/>
      <c r="C48" s="515"/>
      <c r="D48" s="515"/>
      <c r="E48" s="515"/>
      <c r="F48" s="515"/>
      <c r="G48" s="515"/>
      <c r="H48" s="515"/>
    </row>
    <row r="49" spans="1:8">
      <c r="A49" s="515"/>
      <c r="B49" s="515"/>
      <c r="C49" s="515"/>
      <c r="D49" s="515"/>
      <c r="E49" s="515"/>
      <c r="F49" s="515"/>
      <c r="G49" s="515"/>
      <c r="H49" s="515"/>
    </row>
    <row r="50" spans="1:8">
      <c r="A50" s="515"/>
      <c r="B50" s="515"/>
      <c r="C50" s="515"/>
      <c r="D50" s="515"/>
      <c r="E50" s="515"/>
      <c r="F50" s="515"/>
      <c r="G50" s="515"/>
      <c r="H50" s="515"/>
    </row>
    <row r="51" spans="1:8">
      <c r="A51" s="515"/>
      <c r="B51" s="515"/>
      <c r="C51" s="515"/>
      <c r="D51" s="515"/>
      <c r="E51" s="515"/>
      <c r="F51" s="515"/>
      <c r="G51" s="515"/>
      <c r="H51" s="515"/>
    </row>
    <row r="52" spans="1:8">
      <c r="A52" s="515"/>
      <c r="B52" s="515"/>
      <c r="C52" s="515"/>
      <c r="D52" s="515"/>
      <c r="E52" s="515"/>
      <c r="F52" s="515"/>
      <c r="G52" s="515"/>
      <c r="H52" s="515"/>
    </row>
    <row r="53" spans="1:8">
      <c r="A53" s="515"/>
      <c r="B53" s="515"/>
      <c r="C53" s="515"/>
      <c r="D53" s="515"/>
      <c r="E53" s="515"/>
      <c r="F53" s="515"/>
      <c r="G53" s="515"/>
      <c r="H53" s="515"/>
    </row>
    <row r="54" spans="1:8">
      <c r="A54" s="515"/>
      <c r="B54" s="515"/>
      <c r="C54" s="515"/>
      <c r="D54" s="515"/>
      <c r="E54" s="515"/>
      <c r="F54" s="515"/>
      <c r="G54" s="515"/>
      <c r="H54" s="515"/>
    </row>
    <row r="55" spans="1:8">
      <c r="A55" s="298" t="s">
        <v>307</v>
      </c>
      <c r="B55" s="298"/>
    </row>
    <row r="56" spans="1:8">
      <c r="A56" s="298" t="s">
        <v>242</v>
      </c>
      <c r="B56" s="298"/>
    </row>
    <row r="57" spans="1:8">
      <c r="D57" s="84"/>
    </row>
  </sheetData>
  <sheetProtection password="CF7A" sheet="1" scenarios="1" autoFilter="0"/>
  <sortState ref="M10:M29">
    <sortCondition ref="M10"/>
  </sortState>
  <mergeCells count="4">
    <mergeCell ref="D39:E39"/>
    <mergeCell ref="D8:E8"/>
    <mergeCell ref="D9:E9"/>
    <mergeCell ref="Q32:Q33"/>
  </mergeCells>
  <dataValidations count="6">
    <dataValidation type="list" allowBlank="1" showInputMessage="1" showErrorMessage="1" sqref="E33">
      <formula1>$K$10:$K$27</formula1>
    </dataValidation>
    <dataValidation type="list" allowBlank="1" showInputMessage="1" showErrorMessage="1" sqref="E34">
      <formula1>$L$35:$L$36</formula1>
    </dataValidation>
    <dataValidation type="list" allowBlank="1" showInputMessage="1" showErrorMessage="1" sqref="E35">
      <formula1>$K$35:$K$37</formula1>
    </dataValidation>
    <dataValidation type="list" allowBlank="1" showInputMessage="1" showErrorMessage="1" sqref="E31">
      <formula1>$O$10:$O$13</formula1>
    </dataValidation>
    <dataValidation type="list" allowBlank="1" showInputMessage="1" showErrorMessage="1" sqref="E32">
      <formula1>$M$10:$M$29</formula1>
    </dataValidation>
    <dataValidation type="list" allowBlank="1" showInputMessage="1" showErrorMessage="1" sqref="Q34">
      <formula1>"10,15,20,25,30,35,40,45,50"</formula1>
    </dataValidation>
  </dataValidations>
  <pageMargins left="0.78740157480314965" right="0.70866141732283472" top="0.74803149606299213" bottom="0.74803149606299213" header="0.31496062992125984" footer="0.31496062992125984"/>
  <pageSetup fitToHeight="0" orientation="portrait" horizontalDpi="4294967294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  <pageSetUpPr fitToPage="1"/>
  </sheetPr>
  <dimension ref="A1:JP70"/>
  <sheetViews>
    <sheetView showGridLines="0" showRowColHeaders="0" showZeros="0" zoomScale="85" zoomScaleNormal="85" zoomScaleSheetLayoutView="40" workbookViewId="0">
      <pane xSplit="2" ySplit="10" topLeftCell="C11" activePane="bottomRight" state="frozen"/>
      <selection activeCell="E14" sqref="E14"/>
      <selection pane="topRight" activeCell="E14" sqref="E14"/>
      <selection pane="bottomLeft" activeCell="E14" sqref="E14"/>
      <selection pane="bottomRight" activeCell="C11" sqref="C11"/>
    </sheetView>
  </sheetViews>
  <sheetFormatPr baseColWidth="10" defaultColWidth="11" defaultRowHeight="15" customHeight="1"/>
  <cols>
    <col min="1" max="1" width="4.25" style="1" customWidth="1"/>
    <col min="2" max="2" width="39.75" style="1" customWidth="1"/>
    <col min="3" max="3" width="5.625" style="1" customWidth="1"/>
    <col min="4" max="4" width="18.375" style="1" customWidth="1"/>
    <col min="5" max="5" width="6.375" style="1" customWidth="1"/>
    <col min="6" max="6" width="48.625" style="26" customWidth="1"/>
    <col min="7" max="7" width="19.75" style="26" customWidth="1"/>
    <col min="8" max="14" width="10.625" style="26" customWidth="1"/>
    <col min="15" max="15" width="30.625" style="26" customWidth="1"/>
    <col min="16" max="16" width="29.125" style="26" customWidth="1"/>
    <col min="17" max="17" width="11.625" style="26" customWidth="1"/>
    <col min="18" max="18" width="30.625" style="26" customWidth="1"/>
    <col min="19" max="19" width="29.125" style="26" customWidth="1"/>
    <col min="20" max="20" width="11.625" style="26" customWidth="1"/>
    <col min="21" max="21" width="30.625" style="26" customWidth="1"/>
    <col min="22" max="22" width="12.625" style="26" customWidth="1"/>
    <col min="23" max="23" width="29.125" style="26" customWidth="1"/>
    <col min="24" max="24" width="11.625" style="26" customWidth="1"/>
    <col min="25" max="25" width="13.5" style="26" customWidth="1"/>
    <col min="26" max="26" width="18.625" style="38" customWidth="1"/>
    <col min="27" max="27" width="13.875" style="26" customWidth="1"/>
    <col min="28" max="28" width="14.625" style="26" customWidth="1"/>
    <col min="29" max="31" width="11.375" style="26" customWidth="1"/>
    <col min="32" max="37" width="5" style="531" hidden="1" customWidth="1"/>
    <col min="38" max="38" width="9.25" style="531" hidden="1" customWidth="1"/>
    <col min="39" max="39" width="5" style="531" hidden="1" customWidth="1"/>
    <col min="40" max="41" width="11.375" style="26" hidden="1" customWidth="1"/>
    <col min="42" max="42" width="6.125" style="400" hidden="1" customWidth="1"/>
    <col min="43" max="44" width="11.375" style="26" hidden="1" customWidth="1"/>
    <col min="45" max="50" width="8.25" style="400" hidden="1" customWidth="1"/>
    <col min="51" max="55" width="11.375" style="26" customWidth="1"/>
    <col min="56" max="66" width="11.375" style="38" customWidth="1"/>
    <col min="67" max="103" width="11.375" style="26" customWidth="1"/>
    <col min="104" max="276" width="11.375" style="1" customWidth="1"/>
    <col min="277" max="16384" width="11" style="3"/>
  </cols>
  <sheetData>
    <row r="1" spans="1:53" ht="15" customHeight="1">
      <c r="A1" s="56"/>
      <c r="C1" s="81" t="str">
        <f>CONCATENATE("UNIDAD EDUCATIVA ",CARATULA!E28)</f>
        <v xml:space="preserve">UNIDAD EDUCATIVA </v>
      </c>
      <c r="AH1" s="531" t="s">
        <v>2</v>
      </c>
      <c r="AI1" s="55" t="s">
        <v>5</v>
      </c>
      <c r="AN1" s="26" t="s">
        <v>245</v>
      </c>
      <c r="AO1" s="65"/>
    </row>
    <row r="2" spans="1:53" ht="15" customHeight="1">
      <c r="A2" s="56"/>
      <c r="C2" s="81" t="str">
        <f>CONCATENATE("NIVEL ",CARATULA!E34)</f>
        <v>NIVEL SECUNDARIA COMUNITARIA PRODUCTIVA</v>
      </c>
      <c r="AI2" s="55" t="s">
        <v>1</v>
      </c>
      <c r="AN2" s="26" t="s">
        <v>246</v>
      </c>
    </row>
    <row r="3" spans="1:53" ht="15" customHeight="1" thickBot="1">
      <c r="A3" s="56"/>
      <c r="C3" s="81" t="str">
        <f>CONCATENATE("TURNO ",CARATULA!E35)</f>
        <v xml:space="preserve">TURNO </v>
      </c>
      <c r="E3" s="56" t="str">
        <f>CONCATENATE("SIE ",CARATULA!E27)</f>
        <v xml:space="preserve">SIE </v>
      </c>
      <c r="AH3" s="531" t="s">
        <v>3</v>
      </c>
      <c r="AI3" s="55" t="s">
        <v>6</v>
      </c>
    </row>
    <row r="4" spans="1:53" ht="15" customHeight="1" thickBot="1">
      <c r="A4" s="56"/>
      <c r="C4" s="75" t="str">
        <f>CONCATENATE("GESTION ",CARATULA!E36)</f>
        <v>GESTION 2025</v>
      </c>
      <c r="G4" s="1"/>
      <c r="H4" s="559" t="s">
        <v>24</v>
      </c>
      <c r="I4" s="560"/>
      <c r="J4" s="561"/>
      <c r="K4" s="222"/>
      <c r="L4" s="559" t="s">
        <v>23</v>
      </c>
      <c r="M4" s="560"/>
      <c r="N4" s="561"/>
      <c r="O4" s="1"/>
      <c r="P4" s="1"/>
      <c r="Q4" s="1"/>
      <c r="R4" s="1"/>
      <c r="S4" s="1"/>
      <c r="T4" s="1"/>
      <c r="X4" s="1"/>
      <c r="AI4" s="55" t="s">
        <v>7</v>
      </c>
    </row>
    <row r="5" spans="1:53" ht="15" customHeight="1" thickBot="1">
      <c r="B5" s="4"/>
      <c r="E5" s="4" t="s">
        <v>150</v>
      </c>
      <c r="F5" s="420" t="str">
        <f>IF(CARATULA!E33="","",CARATULA!E33)</f>
        <v/>
      </c>
      <c r="G5" s="15"/>
      <c r="H5" s="239" t="s">
        <v>15</v>
      </c>
      <c r="I5" s="240" t="s">
        <v>16</v>
      </c>
      <c r="J5" s="16" t="s">
        <v>9</v>
      </c>
      <c r="K5" s="208"/>
      <c r="L5" s="239" t="s">
        <v>15</v>
      </c>
      <c r="M5" s="240" t="s">
        <v>16</v>
      </c>
      <c r="N5" s="16" t="s">
        <v>9</v>
      </c>
      <c r="Q5" s="319" t="s">
        <v>256</v>
      </c>
      <c r="R5" s="320"/>
      <c r="S5" s="320"/>
      <c r="U5" s="208"/>
      <c r="V5" s="208"/>
      <c r="W5" s="208"/>
      <c r="AI5" s="55" t="s">
        <v>249</v>
      </c>
    </row>
    <row r="6" spans="1:53" ht="15" customHeight="1">
      <c r="B6" s="35"/>
      <c r="E6" s="35" t="s">
        <v>25</v>
      </c>
      <c r="F6" s="420" t="str">
        <f>IF(CARATULA!E31="","",CARATULA!E31)</f>
        <v/>
      </c>
      <c r="G6" s="17" t="s">
        <v>12</v>
      </c>
      <c r="H6" s="12">
        <f>AF62</f>
        <v>0</v>
      </c>
      <c r="I6" s="20">
        <f>AG62</f>
        <v>0</v>
      </c>
      <c r="J6" s="227">
        <f>SUM(H6:I6)</f>
        <v>0</v>
      </c>
      <c r="K6" s="221"/>
      <c r="L6" s="230">
        <f>IF(H6=0,0,H6/J6)</f>
        <v>0</v>
      </c>
      <c r="M6" s="231">
        <f>IF(I6=0,0,I6/J6)</f>
        <v>0</v>
      </c>
      <c r="N6" s="232">
        <f>SUM(L6:M6)</f>
        <v>0</v>
      </c>
      <c r="Q6" s="319" t="s">
        <v>257</v>
      </c>
      <c r="R6" s="320"/>
      <c r="S6" s="320"/>
    </row>
    <row r="7" spans="1:53" ht="15.75" customHeight="1">
      <c r="B7" s="4"/>
      <c r="E7" s="4" t="s">
        <v>27</v>
      </c>
      <c r="F7" s="420" t="str">
        <f>IF(CARATULA!E32="","",CARATULA!E32)</f>
        <v/>
      </c>
      <c r="G7" s="18" t="s">
        <v>13</v>
      </c>
      <c r="H7" s="13">
        <f>AJ62</f>
        <v>0</v>
      </c>
      <c r="I7" s="9">
        <f>AK62</f>
        <v>0</v>
      </c>
      <c r="J7" s="228">
        <f>SUM(H7:I7)</f>
        <v>0</v>
      </c>
      <c r="K7" s="221"/>
      <c r="L7" s="233">
        <f>IF(H7=0,0,H7/J6)</f>
        <v>0</v>
      </c>
      <c r="M7" s="234">
        <f>IF(I7=0,0,I7/J6)</f>
        <v>0</v>
      </c>
      <c r="N7" s="235">
        <f>SUM(L7:M7)</f>
        <v>0</v>
      </c>
      <c r="AF7" s="565" t="s">
        <v>2</v>
      </c>
      <c r="AG7" s="565"/>
      <c r="AH7" s="565" t="s">
        <v>6</v>
      </c>
      <c r="AI7" s="565"/>
      <c r="AJ7" s="565" t="s">
        <v>7</v>
      </c>
      <c r="AK7" s="565"/>
    </row>
    <row r="8" spans="1:53" ht="15.75" customHeight="1" thickBot="1">
      <c r="B8" s="4"/>
      <c r="E8" s="4" t="s">
        <v>26</v>
      </c>
      <c r="F8" s="420" t="str">
        <f>IF(CARATULA!E30="","",CARATULA!E30)</f>
        <v>nombre maestro</v>
      </c>
      <c r="G8" s="19" t="s">
        <v>14</v>
      </c>
      <c r="H8" s="21">
        <f>AH62</f>
        <v>0</v>
      </c>
      <c r="I8" s="22">
        <f>AI62</f>
        <v>0</v>
      </c>
      <c r="J8" s="229">
        <f>SUM(H8:I8)</f>
        <v>0</v>
      </c>
      <c r="K8" s="221"/>
      <c r="L8" s="236">
        <f>IF(H8=0,0,H8/J6)</f>
        <v>0</v>
      </c>
      <c r="M8" s="237">
        <f>IF(I8=0,0,I8/J6)</f>
        <v>0</v>
      </c>
      <c r="N8" s="238">
        <f>SUM(L8:M8)</f>
        <v>0</v>
      </c>
    </row>
    <row r="9" spans="1:53" ht="15.75" customHeight="1" thickBot="1">
      <c r="A9" s="566"/>
      <c r="B9" s="566"/>
    </row>
    <row r="10" spans="1:53" ht="31.5" customHeight="1" thickBot="1">
      <c r="A10" s="57" t="s">
        <v>0</v>
      </c>
      <c r="B10" s="419" t="s">
        <v>200</v>
      </c>
      <c r="C10" s="7" t="s">
        <v>2</v>
      </c>
      <c r="D10" s="7" t="s">
        <v>201</v>
      </c>
      <c r="E10" s="201" t="s">
        <v>4</v>
      </c>
      <c r="F10" s="201" t="s">
        <v>202</v>
      </c>
      <c r="G10" s="201" t="s">
        <v>192</v>
      </c>
      <c r="H10" s="201" t="s">
        <v>193</v>
      </c>
      <c r="I10" s="220" t="s">
        <v>248</v>
      </c>
      <c r="J10" s="567" t="s">
        <v>194</v>
      </c>
      <c r="K10" s="568"/>
      <c r="L10" s="568"/>
      <c r="M10" s="568"/>
      <c r="N10" s="569"/>
      <c r="O10" s="201" t="s">
        <v>237</v>
      </c>
      <c r="P10" s="394" t="s">
        <v>284</v>
      </c>
      <c r="Q10" s="220" t="s">
        <v>235</v>
      </c>
      <c r="R10" s="220" t="s">
        <v>238</v>
      </c>
      <c r="S10" s="394" t="s">
        <v>284</v>
      </c>
      <c r="T10" s="220" t="s">
        <v>236</v>
      </c>
      <c r="U10" s="201" t="s">
        <v>195</v>
      </c>
      <c r="V10" s="201" t="s">
        <v>196</v>
      </c>
      <c r="W10" s="394" t="s">
        <v>284</v>
      </c>
      <c r="X10" s="201" t="s">
        <v>239</v>
      </c>
      <c r="Y10" s="201" t="s">
        <v>3</v>
      </c>
      <c r="Z10" s="393" t="s">
        <v>252</v>
      </c>
      <c r="AA10" s="410" t="s">
        <v>282</v>
      </c>
      <c r="AB10" s="411" t="s">
        <v>283</v>
      </c>
      <c r="AF10" s="401" t="s">
        <v>197</v>
      </c>
      <c r="AG10" s="401" t="s">
        <v>198</v>
      </c>
      <c r="AH10" s="401" t="s">
        <v>197</v>
      </c>
      <c r="AI10" s="401" t="s">
        <v>198</v>
      </c>
      <c r="AJ10" s="401" t="s">
        <v>197</v>
      </c>
      <c r="AK10" s="401" t="s">
        <v>198</v>
      </c>
      <c r="AL10" s="402" t="s">
        <v>199</v>
      </c>
      <c r="AM10" s="401"/>
      <c r="AN10" s="403"/>
      <c r="AO10" s="404"/>
      <c r="AP10" s="405" t="s">
        <v>10</v>
      </c>
      <c r="AQ10" s="404"/>
      <c r="AR10" s="65"/>
      <c r="AS10" s="405" t="s">
        <v>11</v>
      </c>
      <c r="AT10" s="405"/>
      <c r="AU10" s="405"/>
      <c r="AV10" s="405"/>
      <c r="AW10" s="405"/>
      <c r="AX10" s="405" t="s">
        <v>2</v>
      </c>
      <c r="AY10" s="65"/>
      <c r="AZ10" s="65"/>
      <c r="BA10" s="65"/>
    </row>
    <row r="11" spans="1:53" ht="18" customHeight="1">
      <c r="A11" s="155">
        <v>1</v>
      </c>
      <c r="B11" s="418"/>
      <c r="C11" s="203"/>
      <c r="D11" s="421"/>
      <c r="E11" s="223" t="str">
        <f ca="1">IF(D11="","",IFERROR(YEAR(TODAY())-YEAR(D11),""))</f>
        <v/>
      </c>
      <c r="F11" s="224"/>
      <c r="G11" s="335"/>
      <c r="H11" s="335"/>
      <c r="I11" s="329"/>
      <c r="J11" s="562"/>
      <c r="K11" s="563"/>
      <c r="L11" s="563"/>
      <c r="M11" s="563"/>
      <c r="N11" s="564"/>
      <c r="O11" s="224"/>
      <c r="P11" s="224"/>
      <c r="Q11" s="332"/>
      <c r="R11" s="224"/>
      <c r="S11" s="224"/>
      <c r="T11" s="332"/>
      <c r="U11" s="224"/>
      <c r="V11" s="224"/>
      <c r="W11" s="224"/>
      <c r="X11" s="332"/>
      <c r="Y11" s="204" t="str">
        <f t="shared" ref="Y11:Y60" si="0">IF(B11="","","EFECTIVO")</f>
        <v/>
      </c>
      <c r="Z11" s="321" t="str">
        <f>IF(Y11="EFECTIVO","MOSTRAR",IF(OR(Y11="RETIRADO",Y11="TRASLADO"),"OCULTAR",""))</f>
        <v/>
      </c>
      <c r="AA11" s="408"/>
      <c r="AB11" s="412"/>
      <c r="AF11" s="531" t="str">
        <f t="shared" ref="AF11:AF60" si="1">IF(C11="M",1,"")</f>
        <v/>
      </c>
      <c r="AG11" s="531" t="str">
        <f t="shared" ref="AG11:AG60" si="2">IF(C11="F",1,"")</f>
        <v/>
      </c>
      <c r="AH11" s="531" t="str">
        <f t="shared" ref="AH11:AH60" si="3">IF(Y11="EFECTIVO",IF(C11="M",1,""),"")</f>
        <v/>
      </c>
      <c r="AI11" s="531" t="str">
        <f t="shared" ref="AI11:AI60" si="4">IF(Y11="EFECTIVO",IF(C11="F",1,""),"")</f>
        <v/>
      </c>
      <c r="AJ11" s="531" t="str">
        <f t="shared" ref="AJ11:AJ60" si="5">IF(Y11="RETIRADO",IF(C11="M",1,""),"")</f>
        <v/>
      </c>
      <c r="AK11" s="531" t="str">
        <f t="shared" ref="AK11:AK60" si="6">IF(Y11="RETIRADO",IF(C11="F",1,""),"")</f>
        <v/>
      </c>
      <c r="AL11" s="531" t="str">
        <f t="shared" ref="AL11:AL21" si="7">IF(SUM(AH11:AI11)=0,"",SUM(AH11:AI11))</f>
        <v/>
      </c>
      <c r="AP11" s="400">
        <v>1</v>
      </c>
      <c r="AQ11" s="406"/>
      <c r="AS11" s="400" t="str">
        <f t="shared" ref="AS11:AS60" si="8">IF(B11="","",1)</f>
        <v/>
      </c>
      <c r="AX11" s="400" t="str">
        <f t="shared" ref="AX11:AX60" si="9">IF(B11="","",1)</f>
        <v/>
      </c>
    </row>
    <row r="12" spans="1:53" ht="18" customHeight="1">
      <c r="A12" s="156">
        <v>2</v>
      </c>
      <c r="B12" s="416"/>
      <c r="C12" s="204"/>
      <c r="D12" s="422"/>
      <c r="E12" s="225" t="str">
        <f t="shared" ref="E12:E60" ca="1" si="10">IF(D12="","",IFERROR(YEAR(TODAY())-YEAR(D12),""))</f>
        <v/>
      </c>
      <c r="F12" s="226"/>
      <c r="G12" s="336"/>
      <c r="H12" s="336"/>
      <c r="I12" s="330"/>
      <c r="J12" s="556"/>
      <c r="K12" s="557"/>
      <c r="L12" s="557"/>
      <c r="M12" s="557"/>
      <c r="N12" s="558"/>
      <c r="O12" s="226"/>
      <c r="P12" s="226"/>
      <c r="Q12" s="333"/>
      <c r="R12" s="226"/>
      <c r="S12" s="226"/>
      <c r="T12" s="333"/>
      <c r="U12" s="226"/>
      <c r="V12" s="226"/>
      <c r="W12" s="226"/>
      <c r="X12" s="333"/>
      <c r="Y12" s="204" t="str">
        <f t="shared" si="0"/>
        <v/>
      </c>
      <c r="Z12" s="322" t="str">
        <f t="shared" ref="Z12:Z60" si="11">IF(Y12="EFECTIVO","MOSTRAR",IF(OR(Y12="RETIRADO",Y12="TRASLADO"),"OCULTAR",""))</f>
        <v/>
      </c>
      <c r="AA12" s="409"/>
      <c r="AB12" s="413"/>
      <c r="AF12" s="531" t="str">
        <f t="shared" si="1"/>
        <v/>
      </c>
      <c r="AG12" s="531" t="str">
        <f t="shared" si="2"/>
        <v/>
      </c>
      <c r="AH12" s="531" t="str">
        <f t="shared" si="3"/>
        <v/>
      </c>
      <c r="AI12" s="531" t="str">
        <f t="shared" si="4"/>
        <v/>
      </c>
      <c r="AJ12" s="531" t="str">
        <f t="shared" si="5"/>
        <v/>
      </c>
      <c r="AK12" s="531" t="str">
        <f t="shared" si="6"/>
        <v/>
      </c>
      <c r="AL12" s="531" t="str">
        <f t="shared" si="7"/>
        <v/>
      </c>
      <c r="AP12" s="400">
        <v>2</v>
      </c>
      <c r="AQ12" s="406"/>
      <c r="AS12" s="400" t="str">
        <f t="shared" si="8"/>
        <v/>
      </c>
      <c r="AX12" s="400" t="str">
        <f t="shared" si="9"/>
        <v/>
      </c>
    </row>
    <row r="13" spans="1:53" ht="18" customHeight="1">
      <c r="A13" s="156">
        <v>3</v>
      </c>
      <c r="B13" s="416"/>
      <c r="C13" s="204"/>
      <c r="D13" s="422"/>
      <c r="E13" s="225" t="str">
        <f t="shared" ca="1" si="10"/>
        <v/>
      </c>
      <c r="F13" s="226"/>
      <c r="G13" s="336"/>
      <c r="H13" s="336"/>
      <c r="I13" s="330"/>
      <c r="J13" s="556"/>
      <c r="K13" s="557"/>
      <c r="L13" s="557"/>
      <c r="M13" s="557"/>
      <c r="N13" s="558"/>
      <c r="O13" s="226"/>
      <c r="P13" s="226"/>
      <c r="Q13" s="333"/>
      <c r="R13" s="226"/>
      <c r="S13" s="226"/>
      <c r="T13" s="333"/>
      <c r="U13" s="226"/>
      <c r="V13" s="226"/>
      <c r="W13" s="226"/>
      <c r="X13" s="333"/>
      <c r="Y13" s="204" t="str">
        <f t="shared" si="0"/>
        <v/>
      </c>
      <c r="Z13" s="322" t="str">
        <f>IF(Y13="EFECTIVO","MOSTRAR",IF(OR(Y13="RETIRADO",Y13="TRASLADO"),"OCULTAR",""))</f>
        <v/>
      </c>
      <c r="AA13" s="409"/>
      <c r="AB13" s="413"/>
      <c r="AF13" s="531" t="str">
        <f t="shared" si="1"/>
        <v/>
      </c>
      <c r="AG13" s="531" t="str">
        <f t="shared" si="2"/>
        <v/>
      </c>
      <c r="AH13" s="531" t="str">
        <f t="shared" si="3"/>
        <v/>
      </c>
      <c r="AI13" s="531" t="str">
        <f t="shared" si="4"/>
        <v/>
      </c>
      <c r="AJ13" s="531" t="str">
        <f t="shared" si="5"/>
        <v/>
      </c>
      <c r="AK13" s="531" t="str">
        <f t="shared" si="6"/>
        <v/>
      </c>
      <c r="AL13" s="531" t="str">
        <f t="shared" si="7"/>
        <v/>
      </c>
      <c r="AP13" s="400">
        <v>3</v>
      </c>
      <c r="AQ13" s="406"/>
      <c r="AS13" s="400" t="str">
        <f t="shared" si="8"/>
        <v/>
      </c>
      <c r="AX13" s="400" t="str">
        <f t="shared" si="9"/>
        <v/>
      </c>
    </row>
    <row r="14" spans="1:53" ht="18" customHeight="1">
      <c r="A14" s="156">
        <v>4</v>
      </c>
      <c r="B14" s="416"/>
      <c r="C14" s="204"/>
      <c r="D14" s="422"/>
      <c r="E14" s="225" t="str">
        <f t="shared" ca="1" si="10"/>
        <v/>
      </c>
      <c r="F14" s="226"/>
      <c r="G14" s="336"/>
      <c r="H14" s="336"/>
      <c r="I14" s="330"/>
      <c r="J14" s="556"/>
      <c r="K14" s="557"/>
      <c r="L14" s="557"/>
      <c r="M14" s="557"/>
      <c r="N14" s="558"/>
      <c r="O14" s="226"/>
      <c r="P14" s="226"/>
      <c r="Q14" s="333"/>
      <c r="R14" s="226"/>
      <c r="S14" s="226"/>
      <c r="T14" s="333"/>
      <c r="U14" s="226"/>
      <c r="V14" s="226"/>
      <c r="W14" s="226"/>
      <c r="X14" s="333"/>
      <c r="Y14" s="204" t="str">
        <f t="shared" si="0"/>
        <v/>
      </c>
      <c r="Z14" s="322" t="str">
        <f t="shared" si="11"/>
        <v/>
      </c>
      <c r="AA14" s="409"/>
      <c r="AB14" s="413"/>
      <c r="AF14" s="531" t="str">
        <f t="shared" si="1"/>
        <v/>
      </c>
      <c r="AG14" s="531" t="str">
        <f t="shared" si="2"/>
        <v/>
      </c>
      <c r="AH14" s="531" t="str">
        <f t="shared" si="3"/>
        <v/>
      </c>
      <c r="AI14" s="531" t="str">
        <f t="shared" si="4"/>
        <v/>
      </c>
      <c r="AJ14" s="531" t="str">
        <f t="shared" si="5"/>
        <v/>
      </c>
      <c r="AK14" s="531" t="str">
        <f t="shared" si="6"/>
        <v/>
      </c>
      <c r="AL14" s="531" t="str">
        <f t="shared" si="7"/>
        <v/>
      </c>
      <c r="AP14" s="400">
        <v>4</v>
      </c>
      <c r="AQ14" s="406"/>
      <c r="AS14" s="400" t="str">
        <f t="shared" si="8"/>
        <v/>
      </c>
      <c r="AX14" s="400" t="str">
        <f t="shared" si="9"/>
        <v/>
      </c>
    </row>
    <row r="15" spans="1:53" ht="18" customHeight="1">
      <c r="A15" s="156">
        <v>5</v>
      </c>
      <c r="B15" s="416"/>
      <c r="C15" s="204"/>
      <c r="D15" s="422"/>
      <c r="E15" s="225" t="str">
        <f t="shared" ca="1" si="10"/>
        <v/>
      </c>
      <c r="F15" s="226"/>
      <c r="G15" s="336"/>
      <c r="H15" s="336"/>
      <c r="I15" s="330"/>
      <c r="J15" s="556"/>
      <c r="K15" s="557"/>
      <c r="L15" s="557"/>
      <c r="M15" s="557"/>
      <c r="N15" s="558"/>
      <c r="O15" s="226"/>
      <c r="P15" s="226"/>
      <c r="Q15" s="333"/>
      <c r="R15" s="226"/>
      <c r="S15" s="226"/>
      <c r="T15" s="333"/>
      <c r="U15" s="226"/>
      <c r="V15" s="226"/>
      <c r="W15" s="226"/>
      <c r="X15" s="333"/>
      <c r="Y15" s="204" t="str">
        <f t="shared" si="0"/>
        <v/>
      </c>
      <c r="Z15" s="322" t="str">
        <f t="shared" si="11"/>
        <v/>
      </c>
      <c r="AA15" s="409"/>
      <c r="AB15" s="413"/>
      <c r="AF15" s="531" t="str">
        <f t="shared" si="1"/>
        <v/>
      </c>
      <c r="AG15" s="531" t="str">
        <f t="shared" si="2"/>
        <v/>
      </c>
      <c r="AH15" s="531" t="str">
        <f t="shared" si="3"/>
        <v/>
      </c>
      <c r="AI15" s="531" t="str">
        <f t="shared" si="4"/>
        <v/>
      </c>
      <c r="AJ15" s="531" t="str">
        <f t="shared" si="5"/>
        <v/>
      </c>
      <c r="AK15" s="531" t="str">
        <f t="shared" si="6"/>
        <v/>
      </c>
      <c r="AL15" s="531" t="str">
        <f t="shared" si="7"/>
        <v/>
      </c>
      <c r="AP15" s="400">
        <v>5</v>
      </c>
      <c r="AS15" s="400" t="str">
        <f t="shared" si="8"/>
        <v/>
      </c>
      <c r="AX15" s="400" t="str">
        <f t="shared" si="9"/>
        <v/>
      </c>
    </row>
    <row r="16" spans="1:53" ht="18" customHeight="1">
      <c r="A16" s="156">
        <v>6</v>
      </c>
      <c r="B16" s="416"/>
      <c r="C16" s="204"/>
      <c r="D16" s="422"/>
      <c r="E16" s="225" t="str">
        <f t="shared" ca="1" si="10"/>
        <v/>
      </c>
      <c r="F16" s="226"/>
      <c r="G16" s="336"/>
      <c r="H16" s="336"/>
      <c r="I16" s="330"/>
      <c r="J16" s="556"/>
      <c r="K16" s="557"/>
      <c r="L16" s="557"/>
      <c r="M16" s="557"/>
      <c r="N16" s="558"/>
      <c r="O16" s="226"/>
      <c r="P16" s="226"/>
      <c r="Q16" s="333"/>
      <c r="R16" s="226"/>
      <c r="S16" s="226"/>
      <c r="T16" s="333"/>
      <c r="U16" s="226"/>
      <c r="V16" s="226"/>
      <c r="W16" s="226"/>
      <c r="X16" s="333"/>
      <c r="Y16" s="204" t="str">
        <f t="shared" si="0"/>
        <v/>
      </c>
      <c r="Z16" s="322" t="str">
        <f t="shared" si="11"/>
        <v/>
      </c>
      <c r="AA16" s="409"/>
      <c r="AB16" s="413"/>
      <c r="AF16" s="531" t="str">
        <f t="shared" si="1"/>
        <v/>
      </c>
      <c r="AG16" s="531" t="str">
        <f t="shared" si="2"/>
        <v/>
      </c>
      <c r="AH16" s="531" t="str">
        <f t="shared" si="3"/>
        <v/>
      </c>
      <c r="AI16" s="531" t="str">
        <f t="shared" si="4"/>
        <v/>
      </c>
      <c r="AJ16" s="531" t="str">
        <f t="shared" si="5"/>
        <v/>
      </c>
      <c r="AK16" s="531" t="str">
        <f t="shared" si="6"/>
        <v/>
      </c>
      <c r="AL16" s="531" t="str">
        <f t="shared" si="7"/>
        <v/>
      </c>
      <c r="AP16" s="400">
        <v>6</v>
      </c>
      <c r="AS16" s="400" t="str">
        <f t="shared" si="8"/>
        <v/>
      </c>
      <c r="AX16" s="400" t="str">
        <f t="shared" si="9"/>
        <v/>
      </c>
    </row>
    <row r="17" spans="1:50" ht="18" customHeight="1">
      <c r="A17" s="156">
        <v>7</v>
      </c>
      <c r="B17" s="416"/>
      <c r="C17" s="204"/>
      <c r="D17" s="422"/>
      <c r="E17" s="225" t="str">
        <f t="shared" ca="1" si="10"/>
        <v/>
      </c>
      <c r="F17" s="226"/>
      <c r="G17" s="336"/>
      <c r="H17" s="336"/>
      <c r="I17" s="330"/>
      <c r="J17" s="556"/>
      <c r="K17" s="557"/>
      <c r="L17" s="557"/>
      <c r="M17" s="557"/>
      <c r="N17" s="558"/>
      <c r="O17" s="226"/>
      <c r="P17" s="226"/>
      <c r="Q17" s="333"/>
      <c r="R17" s="226"/>
      <c r="S17" s="226"/>
      <c r="T17" s="333"/>
      <c r="U17" s="226"/>
      <c r="V17" s="226"/>
      <c r="W17" s="226"/>
      <c r="X17" s="333"/>
      <c r="Y17" s="204" t="str">
        <f t="shared" si="0"/>
        <v/>
      </c>
      <c r="Z17" s="322" t="str">
        <f t="shared" si="11"/>
        <v/>
      </c>
      <c r="AA17" s="409"/>
      <c r="AB17" s="413"/>
      <c r="AF17" s="531" t="str">
        <f t="shared" si="1"/>
        <v/>
      </c>
      <c r="AG17" s="531" t="str">
        <f t="shared" si="2"/>
        <v/>
      </c>
      <c r="AH17" s="531" t="str">
        <f t="shared" si="3"/>
        <v/>
      </c>
      <c r="AI17" s="531" t="str">
        <f t="shared" si="4"/>
        <v/>
      </c>
      <c r="AJ17" s="531" t="str">
        <f t="shared" si="5"/>
        <v/>
      </c>
      <c r="AK17" s="531" t="str">
        <f t="shared" si="6"/>
        <v/>
      </c>
      <c r="AL17" s="531" t="str">
        <f t="shared" si="7"/>
        <v/>
      </c>
      <c r="AP17" s="400">
        <v>7</v>
      </c>
      <c r="AS17" s="400" t="str">
        <f t="shared" si="8"/>
        <v/>
      </c>
      <c r="AX17" s="400" t="str">
        <f t="shared" si="9"/>
        <v/>
      </c>
    </row>
    <row r="18" spans="1:50" ht="18" customHeight="1">
      <c r="A18" s="156">
        <v>8</v>
      </c>
      <c r="B18" s="416"/>
      <c r="C18" s="204"/>
      <c r="D18" s="422"/>
      <c r="E18" s="225" t="str">
        <f t="shared" ca="1" si="10"/>
        <v/>
      </c>
      <c r="F18" s="226"/>
      <c r="G18" s="336"/>
      <c r="H18" s="336"/>
      <c r="I18" s="330"/>
      <c r="J18" s="556"/>
      <c r="K18" s="557"/>
      <c r="L18" s="557"/>
      <c r="M18" s="557"/>
      <c r="N18" s="558"/>
      <c r="O18" s="226"/>
      <c r="P18" s="226"/>
      <c r="Q18" s="333"/>
      <c r="R18" s="226"/>
      <c r="S18" s="226"/>
      <c r="T18" s="333"/>
      <c r="U18" s="226"/>
      <c r="V18" s="226"/>
      <c r="W18" s="226"/>
      <c r="X18" s="333"/>
      <c r="Y18" s="204" t="str">
        <f t="shared" si="0"/>
        <v/>
      </c>
      <c r="Z18" s="322" t="str">
        <f t="shared" si="11"/>
        <v/>
      </c>
      <c r="AA18" s="409"/>
      <c r="AB18" s="413"/>
      <c r="AF18" s="531" t="str">
        <f t="shared" si="1"/>
        <v/>
      </c>
      <c r="AG18" s="531" t="str">
        <f t="shared" si="2"/>
        <v/>
      </c>
      <c r="AH18" s="531" t="str">
        <f t="shared" si="3"/>
        <v/>
      </c>
      <c r="AI18" s="531" t="str">
        <f t="shared" si="4"/>
        <v/>
      </c>
      <c r="AJ18" s="531" t="str">
        <f t="shared" si="5"/>
        <v/>
      </c>
      <c r="AK18" s="531" t="str">
        <f t="shared" si="6"/>
        <v/>
      </c>
      <c r="AL18" s="531" t="str">
        <f t="shared" si="7"/>
        <v/>
      </c>
      <c r="AP18" s="400">
        <v>8</v>
      </c>
      <c r="AS18" s="400" t="str">
        <f t="shared" si="8"/>
        <v/>
      </c>
      <c r="AX18" s="400" t="str">
        <f t="shared" si="9"/>
        <v/>
      </c>
    </row>
    <row r="19" spans="1:50" ht="18" customHeight="1">
      <c r="A19" s="156">
        <v>9</v>
      </c>
      <c r="B19" s="416"/>
      <c r="C19" s="204"/>
      <c r="D19" s="422"/>
      <c r="E19" s="225" t="str">
        <f t="shared" ca="1" si="10"/>
        <v/>
      </c>
      <c r="F19" s="226"/>
      <c r="G19" s="336"/>
      <c r="H19" s="336"/>
      <c r="I19" s="330"/>
      <c r="J19" s="556"/>
      <c r="K19" s="557"/>
      <c r="L19" s="557"/>
      <c r="M19" s="557"/>
      <c r="N19" s="558"/>
      <c r="O19" s="226"/>
      <c r="P19" s="226"/>
      <c r="Q19" s="333"/>
      <c r="R19" s="226"/>
      <c r="S19" s="226"/>
      <c r="T19" s="333"/>
      <c r="U19" s="226"/>
      <c r="V19" s="226"/>
      <c r="W19" s="226"/>
      <c r="X19" s="333"/>
      <c r="Y19" s="204" t="str">
        <f t="shared" si="0"/>
        <v/>
      </c>
      <c r="Z19" s="322" t="str">
        <f t="shared" si="11"/>
        <v/>
      </c>
      <c r="AA19" s="409"/>
      <c r="AB19" s="413"/>
      <c r="AF19" s="531" t="str">
        <f t="shared" si="1"/>
        <v/>
      </c>
      <c r="AG19" s="531" t="str">
        <f t="shared" si="2"/>
        <v/>
      </c>
      <c r="AH19" s="531" t="str">
        <f t="shared" si="3"/>
        <v/>
      </c>
      <c r="AI19" s="531" t="str">
        <f t="shared" si="4"/>
        <v/>
      </c>
      <c r="AJ19" s="531" t="str">
        <f t="shared" si="5"/>
        <v/>
      </c>
      <c r="AK19" s="531" t="str">
        <f t="shared" si="6"/>
        <v/>
      </c>
      <c r="AL19" s="531" t="str">
        <f t="shared" si="7"/>
        <v/>
      </c>
      <c r="AP19" s="400">
        <v>9</v>
      </c>
      <c r="AS19" s="400" t="str">
        <f t="shared" si="8"/>
        <v/>
      </c>
      <c r="AX19" s="400" t="str">
        <f t="shared" si="9"/>
        <v/>
      </c>
    </row>
    <row r="20" spans="1:50" ht="18" customHeight="1">
      <c r="A20" s="156">
        <v>10</v>
      </c>
      <c r="B20" s="416"/>
      <c r="C20" s="204"/>
      <c r="D20" s="422"/>
      <c r="E20" s="225" t="str">
        <f t="shared" ca="1" si="10"/>
        <v/>
      </c>
      <c r="F20" s="226"/>
      <c r="G20" s="336"/>
      <c r="H20" s="336"/>
      <c r="I20" s="330"/>
      <c r="J20" s="556"/>
      <c r="K20" s="557"/>
      <c r="L20" s="557"/>
      <c r="M20" s="557"/>
      <c r="N20" s="558"/>
      <c r="O20" s="226"/>
      <c r="P20" s="226"/>
      <c r="Q20" s="333"/>
      <c r="R20" s="226"/>
      <c r="S20" s="226"/>
      <c r="T20" s="333"/>
      <c r="U20" s="226"/>
      <c r="V20" s="226"/>
      <c r="W20" s="226"/>
      <c r="X20" s="333"/>
      <c r="Y20" s="204" t="str">
        <f t="shared" si="0"/>
        <v/>
      </c>
      <c r="Z20" s="322" t="str">
        <f t="shared" si="11"/>
        <v/>
      </c>
      <c r="AA20" s="409"/>
      <c r="AB20" s="413"/>
      <c r="AF20" s="531" t="str">
        <f t="shared" si="1"/>
        <v/>
      </c>
      <c r="AG20" s="531" t="str">
        <f t="shared" si="2"/>
        <v/>
      </c>
      <c r="AH20" s="531" t="str">
        <f t="shared" si="3"/>
        <v/>
      </c>
      <c r="AI20" s="531" t="str">
        <f t="shared" si="4"/>
        <v/>
      </c>
      <c r="AJ20" s="531" t="str">
        <f t="shared" si="5"/>
        <v/>
      </c>
      <c r="AK20" s="531" t="str">
        <f t="shared" si="6"/>
        <v/>
      </c>
      <c r="AL20" s="531" t="str">
        <f t="shared" si="7"/>
        <v/>
      </c>
      <c r="AP20" s="400">
        <v>10</v>
      </c>
      <c r="AS20" s="400" t="str">
        <f t="shared" si="8"/>
        <v/>
      </c>
      <c r="AX20" s="400" t="str">
        <f t="shared" si="9"/>
        <v/>
      </c>
    </row>
    <row r="21" spans="1:50" ht="18" customHeight="1">
      <c r="A21" s="156">
        <v>11</v>
      </c>
      <c r="B21" s="416"/>
      <c r="C21" s="204"/>
      <c r="D21" s="422"/>
      <c r="E21" s="225" t="str">
        <f t="shared" ca="1" si="10"/>
        <v/>
      </c>
      <c r="F21" s="226"/>
      <c r="G21" s="336"/>
      <c r="H21" s="336"/>
      <c r="I21" s="330"/>
      <c r="J21" s="556"/>
      <c r="K21" s="557"/>
      <c r="L21" s="557"/>
      <c r="M21" s="557"/>
      <c r="N21" s="558"/>
      <c r="O21" s="226"/>
      <c r="P21" s="226"/>
      <c r="Q21" s="333"/>
      <c r="R21" s="226"/>
      <c r="S21" s="226"/>
      <c r="T21" s="333"/>
      <c r="U21" s="226"/>
      <c r="V21" s="226"/>
      <c r="W21" s="226"/>
      <c r="X21" s="333"/>
      <c r="Y21" s="204" t="str">
        <f t="shared" si="0"/>
        <v/>
      </c>
      <c r="Z21" s="322" t="str">
        <f t="shared" si="11"/>
        <v/>
      </c>
      <c r="AA21" s="409"/>
      <c r="AB21" s="413"/>
      <c r="AF21" s="531" t="str">
        <f t="shared" si="1"/>
        <v/>
      </c>
      <c r="AG21" s="531" t="str">
        <f t="shared" si="2"/>
        <v/>
      </c>
      <c r="AH21" s="531" t="str">
        <f t="shared" si="3"/>
        <v/>
      </c>
      <c r="AI21" s="531" t="str">
        <f t="shared" si="4"/>
        <v/>
      </c>
      <c r="AJ21" s="531" t="str">
        <f t="shared" si="5"/>
        <v/>
      </c>
      <c r="AK21" s="531" t="str">
        <f t="shared" si="6"/>
        <v/>
      </c>
      <c r="AL21" s="531" t="str">
        <f t="shared" si="7"/>
        <v/>
      </c>
      <c r="AP21" s="400">
        <v>11</v>
      </c>
      <c r="AS21" s="400" t="str">
        <f t="shared" si="8"/>
        <v/>
      </c>
      <c r="AX21" s="400" t="str">
        <f t="shared" si="9"/>
        <v/>
      </c>
    </row>
    <row r="22" spans="1:50" ht="18" customHeight="1">
      <c r="A22" s="156">
        <v>12</v>
      </c>
      <c r="B22" s="416"/>
      <c r="C22" s="204"/>
      <c r="D22" s="422"/>
      <c r="E22" s="225" t="str">
        <f t="shared" ca="1" si="10"/>
        <v/>
      </c>
      <c r="F22" s="226"/>
      <c r="G22" s="336"/>
      <c r="H22" s="336"/>
      <c r="I22" s="330"/>
      <c r="J22" s="556"/>
      <c r="K22" s="557"/>
      <c r="L22" s="557"/>
      <c r="M22" s="557"/>
      <c r="N22" s="558"/>
      <c r="O22" s="226"/>
      <c r="P22" s="226"/>
      <c r="Q22" s="333"/>
      <c r="R22" s="226"/>
      <c r="S22" s="226"/>
      <c r="T22" s="333"/>
      <c r="U22" s="226"/>
      <c r="V22" s="226"/>
      <c r="W22" s="226"/>
      <c r="X22" s="333"/>
      <c r="Y22" s="204" t="str">
        <f t="shared" si="0"/>
        <v/>
      </c>
      <c r="Z22" s="322" t="str">
        <f t="shared" si="11"/>
        <v/>
      </c>
      <c r="AA22" s="409"/>
      <c r="AB22" s="413"/>
      <c r="AF22" s="531" t="str">
        <f t="shared" si="1"/>
        <v/>
      </c>
      <c r="AG22" s="531" t="str">
        <f t="shared" si="2"/>
        <v/>
      </c>
      <c r="AH22" s="531" t="str">
        <f t="shared" si="3"/>
        <v/>
      </c>
      <c r="AI22" s="531" t="str">
        <f t="shared" si="4"/>
        <v/>
      </c>
      <c r="AJ22" s="531" t="str">
        <f t="shared" si="5"/>
        <v/>
      </c>
      <c r="AK22" s="531" t="str">
        <f t="shared" si="6"/>
        <v/>
      </c>
      <c r="AL22" s="531" t="str">
        <f t="shared" ref="AL22:AL39" si="12">IF(SUM(AH22:AI22)=0,"",SUM(AH22:AI22))</f>
        <v/>
      </c>
      <c r="AP22" s="400">
        <v>12</v>
      </c>
      <c r="AS22" s="400" t="str">
        <f t="shared" si="8"/>
        <v/>
      </c>
      <c r="AX22" s="400" t="str">
        <f t="shared" si="9"/>
        <v/>
      </c>
    </row>
    <row r="23" spans="1:50" ht="18" customHeight="1">
      <c r="A23" s="156">
        <v>13</v>
      </c>
      <c r="B23" s="416"/>
      <c r="C23" s="204"/>
      <c r="D23" s="422"/>
      <c r="E23" s="225" t="str">
        <f t="shared" ca="1" si="10"/>
        <v/>
      </c>
      <c r="F23" s="226"/>
      <c r="G23" s="336"/>
      <c r="H23" s="336"/>
      <c r="I23" s="330"/>
      <c r="J23" s="556"/>
      <c r="K23" s="557"/>
      <c r="L23" s="557"/>
      <c r="M23" s="557"/>
      <c r="N23" s="558"/>
      <c r="O23" s="226"/>
      <c r="P23" s="226"/>
      <c r="Q23" s="333"/>
      <c r="R23" s="226"/>
      <c r="S23" s="226"/>
      <c r="T23" s="333"/>
      <c r="U23" s="226"/>
      <c r="V23" s="226"/>
      <c r="W23" s="226"/>
      <c r="X23" s="333"/>
      <c r="Y23" s="204" t="str">
        <f t="shared" si="0"/>
        <v/>
      </c>
      <c r="Z23" s="322" t="str">
        <f t="shared" si="11"/>
        <v/>
      </c>
      <c r="AA23" s="409"/>
      <c r="AB23" s="413"/>
      <c r="AF23" s="531" t="str">
        <f t="shared" si="1"/>
        <v/>
      </c>
      <c r="AG23" s="531" t="str">
        <f t="shared" si="2"/>
        <v/>
      </c>
      <c r="AH23" s="531" t="str">
        <f t="shared" si="3"/>
        <v/>
      </c>
      <c r="AI23" s="531" t="str">
        <f t="shared" si="4"/>
        <v/>
      </c>
      <c r="AJ23" s="531" t="str">
        <f t="shared" si="5"/>
        <v/>
      </c>
      <c r="AK23" s="531" t="str">
        <f t="shared" si="6"/>
        <v/>
      </c>
      <c r="AL23" s="531" t="str">
        <f t="shared" si="12"/>
        <v/>
      </c>
      <c r="AP23" s="400">
        <v>13</v>
      </c>
      <c r="AS23" s="400" t="str">
        <f t="shared" si="8"/>
        <v/>
      </c>
      <c r="AX23" s="400" t="str">
        <f t="shared" si="9"/>
        <v/>
      </c>
    </row>
    <row r="24" spans="1:50" ht="18" customHeight="1">
      <c r="A24" s="156">
        <v>14</v>
      </c>
      <c r="B24" s="416"/>
      <c r="C24" s="204"/>
      <c r="D24" s="422"/>
      <c r="E24" s="225" t="str">
        <f t="shared" ca="1" si="10"/>
        <v/>
      </c>
      <c r="F24" s="226"/>
      <c r="G24" s="336"/>
      <c r="H24" s="336"/>
      <c r="I24" s="330"/>
      <c r="J24" s="556"/>
      <c r="K24" s="557"/>
      <c r="L24" s="557"/>
      <c r="M24" s="557"/>
      <c r="N24" s="558"/>
      <c r="O24" s="226"/>
      <c r="P24" s="226"/>
      <c r="Q24" s="333"/>
      <c r="R24" s="226"/>
      <c r="S24" s="226"/>
      <c r="T24" s="333"/>
      <c r="U24" s="226"/>
      <c r="V24" s="226"/>
      <c r="W24" s="226"/>
      <c r="X24" s="333"/>
      <c r="Y24" s="204" t="str">
        <f t="shared" si="0"/>
        <v/>
      </c>
      <c r="Z24" s="322" t="str">
        <f t="shared" si="11"/>
        <v/>
      </c>
      <c r="AA24" s="409"/>
      <c r="AB24" s="413"/>
      <c r="AF24" s="531" t="str">
        <f t="shared" si="1"/>
        <v/>
      </c>
      <c r="AG24" s="531" t="str">
        <f t="shared" si="2"/>
        <v/>
      </c>
      <c r="AH24" s="531" t="str">
        <f t="shared" si="3"/>
        <v/>
      </c>
      <c r="AI24" s="531" t="str">
        <f t="shared" si="4"/>
        <v/>
      </c>
      <c r="AJ24" s="531" t="str">
        <f t="shared" si="5"/>
        <v/>
      </c>
      <c r="AK24" s="531" t="str">
        <f t="shared" si="6"/>
        <v/>
      </c>
      <c r="AL24" s="531" t="str">
        <f t="shared" si="12"/>
        <v/>
      </c>
      <c r="AP24" s="400">
        <v>14</v>
      </c>
      <c r="AS24" s="400" t="str">
        <f t="shared" si="8"/>
        <v/>
      </c>
      <c r="AX24" s="400" t="str">
        <f t="shared" si="9"/>
        <v/>
      </c>
    </row>
    <row r="25" spans="1:50" ht="18" customHeight="1">
      <c r="A25" s="156">
        <v>15</v>
      </c>
      <c r="B25" s="416"/>
      <c r="C25" s="204"/>
      <c r="D25" s="422"/>
      <c r="E25" s="225" t="str">
        <f t="shared" ca="1" si="10"/>
        <v/>
      </c>
      <c r="F25" s="226"/>
      <c r="G25" s="336"/>
      <c r="H25" s="336"/>
      <c r="I25" s="330"/>
      <c r="J25" s="556"/>
      <c r="K25" s="557"/>
      <c r="L25" s="557"/>
      <c r="M25" s="557"/>
      <c r="N25" s="558"/>
      <c r="O25" s="226"/>
      <c r="P25" s="226"/>
      <c r="Q25" s="333"/>
      <c r="R25" s="226"/>
      <c r="S25" s="226"/>
      <c r="T25" s="333"/>
      <c r="U25" s="226"/>
      <c r="V25" s="226"/>
      <c r="W25" s="226"/>
      <c r="X25" s="333"/>
      <c r="Y25" s="204" t="str">
        <f t="shared" si="0"/>
        <v/>
      </c>
      <c r="Z25" s="322" t="str">
        <f t="shared" si="11"/>
        <v/>
      </c>
      <c r="AA25" s="409"/>
      <c r="AB25" s="413"/>
      <c r="AF25" s="531" t="str">
        <f t="shared" si="1"/>
        <v/>
      </c>
      <c r="AG25" s="531" t="str">
        <f t="shared" si="2"/>
        <v/>
      </c>
      <c r="AH25" s="531" t="str">
        <f t="shared" si="3"/>
        <v/>
      </c>
      <c r="AI25" s="531" t="str">
        <f t="shared" si="4"/>
        <v/>
      </c>
      <c r="AJ25" s="531" t="str">
        <f t="shared" si="5"/>
        <v/>
      </c>
      <c r="AK25" s="531" t="str">
        <f t="shared" si="6"/>
        <v/>
      </c>
      <c r="AL25" s="531" t="str">
        <f t="shared" si="12"/>
        <v/>
      </c>
      <c r="AO25" s="407"/>
      <c r="AP25" s="400">
        <v>15</v>
      </c>
      <c r="AS25" s="400" t="str">
        <f t="shared" si="8"/>
        <v/>
      </c>
      <c r="AX25" s="400" t="str">
        <f t="shared" si="9"/>
        <v/>
      </c>
    </row>
    <row r="26" spans="1:50" ht="18" customHeight="1">
      <c r="A26" s="156">
        <v>16</v>
      </c>
      <c r="B26" s="416"/>
      <c r="C26" s="204"/>
      <c r="D26" s="422"/>
      <c r="E26" s="225" t="str">
        <f t="shared" ca="1" si="10"/>
        <v/>
      </c>
      <c r="F26" s="226"/>
      <c r="G26" s="336"/>
      <c r="H26" s="336"/>
      <c r="I26" s="330"/>
      <c r="J26" s="556"/>
      <c r="K26" s="557"/>
      <c r="L26" s="557"/>
      <c r="M26" s="557"/>
      <c r="N26" s="558"/>
      <c r="O26" s="226"/>
      <c r="P26" s="226"/>
      <c r="Q26" s="333"/>
      <c r="R26" s="226"/>
      <c r="S26" s="226"/>
      <c r="T26" s="333"/>
      <c r="U26" s="226"/>
      <c r="V26" s="226"/>
      <c r="W26" s="226"/>
      <c r="X26" s="333"/>
      <c r="Y26" s="204" t="str">
        <f t="shared" si="0"/>
        <v/>
      </c>
      <c r="Z26" s="322" t="str">
        <f t="shared" si="11"/>
        <v/>
      </c>
      <c r="AA26" s="409"/>
      <c r="AB26" s="413"/>
      <c r="AF26" s="531" t="str">
        <f t="shared" si="1"/>
        <v/>
      </c>
      <c r="AG26" s="531" t="str">
        <f t="shared" si="2"/>
        <v/>
      </c>
      <c r="AH26" s="531" t="str">
        <f t="shared" si="3"/>
        <v/>
      </c>
      <c r="AI26" s="531" t="str">
        <f t="shared" si="4"/>
        <v/>
      </c>
      <c r="AJ26" s="531" t="str">
        <f t="shared" si="5"/>
        <v/>
      </c>
      <c r="AK26" s="531" t="str">
        <f t="shared" si="6"/>
        <v/>
      </c>
      <c r="AL26" s="531" t="str">
        <f t="shared" si="12"/>
        <v/>
      </c>
      <c r="AO26" s="407"/>
      <c r="AP26" s="400">
        <v>16</v>
      </c>
      <c r="AS26" s="400" t="str">
        <f t="shared" si="8"/>
        <v/>
      </c>
      <c r="AX26" s="400" t="str">
        <f t="shared" si="9"/>
        <v/>
      </c>
    </row>
    <row r="27" spans="1:50" ht="18" customHeight="1">
      <c r="A27" s="156">
        <v>17</v>
      </c>
      <c r="B27" s="416"/>
      <c r="C27" s="204"/>
      <c r="D27" s="422"/>
      <c r="E27" s="225" t="str">
        <f t="shared" ca="1" si="10"/>
        <v/>
      </c>
      <c r="F27" s="226"/>
      <c r="G27" s="336"/>
      <c r="H27" s="336"/>
      <c r="I27" s="330"/>
      <c r="J27" s="556"/>
      <c r="K27" s="557"/>
      <c r="L27" s="557"/>
      <c r="M27" s="557"/>
      <c r="N27" s="558"/>
      <c r="O27" s="226"/>
      <c r="P27" s="226"/>
      <c r="Q27" s="333"/>
      <c r="R27" s="226"/>
      <c r="S27" s="226"/>
      <c r="T27" s="333"/>
      <c r="U27" s="226"/>
      <c r="V27" s="226"/>
      <c r="W27" s="226"/>
      <c r="X27" s="333"/>
      <c r="Y27" s="204" t="str">
        <f t="shared" si="0"/>
        <v/>
      </c>
      <c r="Z27" s="322" t="str">
        <f t="shared" si="11"/>
        <v/>
      </c>
      <c r="AA27" s="409"/>
      <c r="AB27" s="413"/>
      <c r="AF27" s="531" t="str">
        <f t="shared" si="1"/>
        <v/>
      </c>
      <c r="AG27" s="531" t="str">
        <f t="shared" si="2"/>
        <v/>
      </c>
      <c r="AH27" s="531" t="str">
        <f t="shared" si="3"/>
        <v/>
      </c>
      <c r="AI27" s="531" t="str">
        <f t="shared" si="4"/>
        <v/>
      </c>
      <c r="AJ27" s="531" t="str">
        <f t="shared" si="5"/>
        <v/>
      </c>
      <c r="AK27" s="531" t="str">
        <f t="shared" si="6"/>
        <v/>
      </c>
      <c r="AL27" s="531" t="str">
        <f t="shared" si="12"/>
        <v/>
      </c>
      <c r="AP27" s="400">
        <v>17</v>
      </c>
      <c r="AS27" s="400" t="str">
        <f t="shared" si="8"/>
        <v/>
      </c>
      <c r="AX27" s="400" t="str">
        <f t="shared" si="9"/>
        <v/>
      </c>
    </row>
    <row r="28" spans="1:50" ht="18" customHeight="1">
      <c r="A28" s="156">
        <v>18</v>
      </c>
      <c r="B28" s="416"/>
      <c r="C28" s="204"/>
      <c r="D28" s="422"/>
      <c r="E28" s="225" t="str">
        <f t="shared" ca="1" si="10"/>
        <v/>
      </c>
      <c r="F28" s="226"/>
      <c r="G28" s="336"/>
      <c r="H28" s="336"/>
      <c r="I28" s="330"/>
      <c r="J28" s="556"/>
      <c r="K28" s="557"/>
      <c r="L28" s="557"/>
      <c r="M28" s="557"/>
      <c r="N28" s="558"/>
      <c r="O28" s="226"/>
      <c r="P28" s="226"/>
      <c r="Q28" s="333"/>
      <c r="R28" s="226"/>
      <c r="S28" s="226"/>
      <c r="T28" s="333"/>
      <c r="U28" s="226"/>
      <c r="V28" s="226"/>
      <c r="W28" s="226"/>
      <c r="X28" s="333"/>
      <c r="Y28" s="204" t="str">
        <f t="shared" si="0"/>
        <v/>
      </c>
      <c r="Z28" s="322" t="str">
        <f t="shared" si="11"/>
        <v/>
      </c>
      <c r="AA28" s="409"/>
      <c r="AB28" s="413"/>
      <c r="AF28" s="531" t="str">
        <f t="shared" si="1"/>
        <v/>
      </c>
      <c r="AG28" s="531" t="str">
        <f t="shared" si="2"/>
        <v/>
      </c>
      <c r="AH28" s="531" t="str">
        <f t="shared" si="3"/>
        <v/>
      </c>
      <c r="AI28" s="531" t="str">
        <f t="shared" si="4"/>
        <v/>
      </c>
      <c r="AJ28" s="531" t="str">
        <f t="shared" si="5"/>
        <v/>
      </c>
      <c r="AK28" s="531" t="str">
        <f t="shared" si="6"/>
        <v/>
      </c>
      <c r="AL28" s="531" t="str">
        <f t="shared" si="12"/>
        <v/>
      </c>
      <c r="AP28" s="400">
        <v>18</v>
      </c>
      <c r="AS28" s="400" t="str">
        <f t="shared" si="8"/>
        <v/>
      </c>
      <c r="AX28" s="400" t="str">
        <f t="shared" si="9"/>
        <v/>
      </c>
    </row>
    <row r="29" spans="1:50" ht="18" customHeight="1">
      <c r="A29" s="156">
        <v>19</v>
      </c>
      <c r="B29" s="416"/>
      <c r="C29" s="204"/>
      <c r="D29" s="422"/>
      <c r="E29" s="225" t="str">
        <f t="shared" ca="1" si="10"/>
        <v/>
      </c>
      <c r="F29" s="226"/>
      <c r="G29" s="336"/>
      <c r="H29" s="336"/>
      <c r="I29" s="330"/>
      <c r="J29" s="556"/>
      <c r="K29" s="557"/>
      <c r="L29" s="557"/>
      <c r="M29" s="557"/>
      <c r="N29" s="558"/>
      <c r="O29" s="226"/>
      <c r="P29" s="226"/>
      <c r="Q29" s="333"/>
      <c r="R29" s="226"/>
      <c r="S29" s="226"/>
      <c r="T29" s="333"/>
      <c r="U29" s="226"/>
      <c r="V29" s="226"/>
      <c r="W29" s="226"/>
      <c r="X29" s="333"/>
      <c r="Y29" s="204" t="str">
        <f t="shared" si="0"/>
        <v/>
      </c>
      <c r="Z29" s="322" t="str">
        <f t="shared" si="11"/>
        <v/>
      </c>
      <c r="AA29" s="409"/>
      <c r="AB29" s="413"/>
      <c r="AF29" s="531" t="str">
        <f t="shared" si="1"/>
        <v/>
      </c>
      <c r="AG29" s="531" t="str">
        <f t="shared" si="2"/>
        <v/>
      </c>
      <c r="AH29" s="531" t="str">
        <f t="shared" si="3"/>
        <v/>
      </c>
      <c r="AI29" s="531" t="str">
        <f t="shared" si="4"/>
        <v/>
      </c>
      <c r="AJ29" s="531" t="str">
        <f t="shared" si="5"/>
        <v/>
      </c>
      <c r="AK29" s="531" t="str">
        <f t="shared" si="6"/>
        <v/>
      </c>
      <c r="AL29" s="531" t="str">
        <f t="shared" si="12"/>
        <v/>
      </c>
      <c r="AP29" s="400">
        <v>19</v>
      </c>
      <c r="AS29" s="400" t="str">
        <f t="shared" si="8"/>
        <v/>
      </c>
      <c r="AX29" s="400" t="str">
        <f t="shared" si="9"/>
        <v/>
      </c>
    </row>
    <row r="30" spans="1:50" ht="18" customHeight="1">
      <c r="A30" s="156">
        <v>20</v>
      </c>
      <c r="B30" s="416"/>
      <c r="C30" s="204"/>
      <c r="D30" s="422"/>
      <c r="E30" s="225" t="str">
        <f t="shared" ca="1" si="10"/>
        <v/>
      </c>
      <c r="F30" s="226"/>
      <c r="G30" s="336"/>
      <c r="H30" s="336"/>
      <c r="I30" s="330"/>
      <c r="J30" s="556"/>
      <c r="K30" s="557"/>
      <c r="L30" s="557"/>
      <c r="M30" s="557"/>
      <c r="N30" s="558"/>
      <c r="O30" s="226"/>
      <c r="P30" s="226"/>
      <c r="Q30" s="333"/>
      <c r="R30" s="226"/>
      <c r="S30" s="226"/>
      <c r="T30" s="333"/>
      <c r="U30" s="226"/>
      <c r="V30" s="226"/>
      <c r="W30" s="226"/>
      <c r="X30" s="333"/>
      <c r="Y30" s="204" t="str">
        <f t="shared" si="0"/>
        <v/>
      </c>
      <c r="Z30" s="322" t="str">
        <f t="shared" si="11"/>
        <v/>
      </c>
      <c r="AA30" s="409"/>
      <c r="AB30" s="413"/>
      <c r="AF30" s="531" t="str">
        <f t="shared" si="1"/>
        <v/>
      </c>
      <c r="AG30" s="531" t="str">
        <f t="shared" si="2"/>
        <v/>
      </c>
      <c r="AH30" s="531" t="str">
        <f t="shared" si="3"/>
        <v/>
      </c>
      <c r="AI30" s="531" t="str">
        <f t="shared" si="4"/>
        <v/>
      </c>
      <c r="AJ30" s="531" t="str">
        <f t="shared" si="5"/>
        <v/>
      </c>
      <c r="AK30" s="531" t="str">
        <f t="shared" si="6"/>
        <v/>
      </c>
      <c r="AL30" s="531" t="str">
        <f t="shared" si="12"/>
        <v/>
      </c>
      <c r="AP30" s="400">
        <v>20</v>
      </c>
      <c r="AS30" s="400" t="str">
        <f t="shared" si="8"/>
        <v/>
      </c>
      <c r="AX30" s="400" t="str">
        <f t="shared" si="9"/>
        <v/>
      </c>
    </row>
    <row r="31" spans="1:50" ht="18" customHeight="1">
      <c r="A31" s="156">
        <v>21</v>
      </c>
      <c r="B31" s="416"/>
      <c r="C31" s="204"/>
      <c r="D31" s="422"/>
      <c r="E31" s="225" t="str">
        <f t="shared" ca="1" si="10"/>
        <v/>
      </c>
      <c r="F31" s="226"/>
      <c r="G31" s="336"/>
      <c r="H31" s="336"/>
      <c r="I31" s="330"/>
      <c r="J31" s="556"/>
      <c r="K31" s="557"/>
      <c r="L31" s="557"/>
      <c r="M31" s="557"/>
      <c r="N31" s="558"/>
      <c r="O31" s="226"/>
      <c r="P31" s="226"/>
      <c r="Q31" s="333"/>
      <c r="R31" s="226"/>
      <c r="S31" s="226"/>
      <c r="T31" s="333"/>
      <c r="U31" s="226"/>
      <c r="V31" s="226"/>
      <c r="W31" s="226"/>
      <c r="X31" s="333"/>
      <c r="Y31" s="204" t="str">
        <f t="shared" si="0"/>
        <v/>
      </c>
      <c r="Z31" s="322" t="str">
        <f t="shared" si="11"/>
        <v/>
      </c>
      <c r="AA31" s="409"/>
      <c r="AB31" s="413"/>
      <c r="AF31" s="531" t="str">
        <f t="shared" si="1"/>
        <v/>
      </c>
      <c r="AG31" s="531" t="str">
        <f t="shared" si="2"/>
        <v/>
      </c>
      <c r="AH31" s="531" t="str">
        <f t="shared" si="3"/>
        <v/>
      </c>
      <c r="AI31" s="531" t="str">
        <f t="shared" si="4"/>
        <v/>
      </c>
      <c r="AJ31" s="531" t="str">
        <f t="shared" si="5"/>
        <v/>
      </c>
      <c r="AK31" s="531" t="str">
        <f t="shared" si="6"/>
        <v/>
      </c>
      <c r="AL31" s="531" t="str">
        <f t="shared" si="12"/>
        <v/>
      </c>
      <c r="AP31" s="400">
        <v>21</v>
      </c>
      <c r="AS31" s="400" t="str">
        <f t="shared" si="8"/>
        <v/>
      </c>
      <c r="AX31" s="400" t="str">
        <f t="shared" si="9"/>
        <v/>
      </c>
    </row>
    <row r="32" spans="1:50" ht="18" customHeight="1">
      <c r="A32" s="156">
        <v>22</v>
      </c>
      <c r="B32" s="416"/>
      <c r="C32" s="204"/>
      <c r="D32" s="422"/>
      <c r="E32" s="225" t="str">
        <f t="shared" ca="1" si="10"/>
        <v/>
      </c>
      <c r="F32" s="226"/>
      <c r="G32" s="336"/>
      <c r="H32" s="336"/>
      <c r="I32" s="330"/>
      <c r="J32" s="556"/>
      <c r="K32" s="557"/>
      <c r="L32" s="557"/>
      <c r="M32" s="557"/>
      <c r="N32" s="558"/>
      <c r="O32" s="226"/>
      <c r="P32" s="226"/>
      <c r="Q32" s="333"/>
      <c r="R32" s="226"/>
      <c r="S32" s="226"/>
      <c r="T32" s="333"/>
      <c r="U32" s="226"/>
      <c r="V32" s="226"/>
      <c r="W32" s="226"/>
      <c r="X32" s="333"/>
      <c r="Y32" s="204" t="str">
        <f t="shared" si="0"/>
        <v/>
      </c>
      <c r="Z32" s="322" t="str">
        <f t="shared" si="11"/>
        <v/>
      </c>
      <c r="AA32" s="409"/>
      <c r="AB32" s="413"/>
      <c r="AF32" s="531" t="str">
        <f t="shared" si="1"/>
        <v/>
      </c>
      <c r="AG32" s="531" t="str">
        <f t="shared" si="2"/>
        <v/>
      </c>
      <c r="AH32" s="531" t="str">
        <f t="shared" si="3"/>
        <v/>
      </c>
      <c r="AI32" s="531" t="str">
        <f t="shared" si="4"/>
        <v/>
      </c>
      <c r="AJ32" s="531" t="str">
        <f t="shared" si="5"/>
        <v/>
      </c>
      <c r="AK32" s="531" t="str">
        <f t="shared" si="6"/>
        <v/>
      </c>
      <c r="AL32" s="531" t="str">
        <f t="shared" si="12"/>
        <v/>
      </c>
      <c r="AP32" s="400">
        <v>22</v>
      </c>
      <c r="AS32" s="400" t="str">
        <f t="shared" si="8"/>
        <v/>
      </c>
      <c r="AX32" s="400" t="str">
        <f t="shared" si="9"/>
        <v/>
      </c>
    </row>
    <row r="33" spans="1:50" ht="18" customHeight="1">
      <c r="A33" s="156">
        <v>23</v>
      </c>
      <c r="B33" s="416"/>
      <c r="C33" s="204"/>
      <c r="D33" s="422"/>
      <c r="E33" s="225" t="str">
        <f t="shared" ca="1" si="10"/>
        <v/>
      </c>
      <c r="F33" s="226"/>
      <c r="G33" s="336"/>
      <c r="H33" s="336"/>
      <c r="I33" s="330"/>
      <c r="J33" s="556"/>
      <c r="K33" s="557"/>
      <c r="L33" s="557"/>
      <c r="M33" s="557"/>
      <c r="N33" s="558"/>
      <c r="O33" s="226"/>
      <c r="P33" s="226"/>
      <c r="Q33" s="333"/>
      <c r="R33" s="226"/>
      <c r="S33" s="226"/>
      <c r="T33" s="333"/>
      <c r="U33" s="226"/>
      <c r="V33" s="226"/>
      <c r="W33" s="226"/>
      <c r="X33" s="333"/>
      <c r="Y33" s="204" t="str">
        <f t="shared" si="0"/>
        <v/>
      </c>
      <c r="Z33" s="322" t="str">
        <f t="shared" si="11"/>
        <v/>
      </c>
      <c r="AA33" s="409"/>
      <c r="AB33" s="413"/>
      <c r="AF33" s="531" t="str">
        <f t="shared" si="1"/>
        <v/>
      </c>
      <c r="AG33" s="531" t="str">
        <f t="shared" si="2"/>
        <v/>
      </c>
      <c r="AH33" s="531" t="str">
        <f t="shared" si="3"/>
        <v/>
      </c>
      <c r="AI33" s="531" t="str">
        <f t="shared" si="4"/>
        <v/>
      </c>
      <c r="AJ33" s="531" t="str">
        <f t="shared" si="5"/>
        <v/>
      </c>
      <c r="AK33" s="531" t="str">
        <f t="shared" si="6"/>
        <v/>
      </c>
      <c r="AL33" s="531" t="str">
        <f t="shared" si="12"/>
        <v/>
      </c>
      <c r="AP33" s="400">
        <v>23</v>
      </c>
      <c r="AS33" s="400" t="str">
        <f t="shared" si="8"/>
        <v/>
      </c>
      <c r="AX33" s="400" t="str">
        <f t="shared" si="9"/>
        <v/>
      </c>
    </row>
    <row r="34" spans="1:50" ht="18" customHeight="1">
      <c r="A34" s="156">
        <v>24</v>
      </c>
      <c r="B34" s="416"/>
      <c r="C34" s="204"/>
      <c r="D34" s="422"/>
      <c r="E34" s="225" t="str">
        <f t="shared" ca="1" si="10"/>
        <v/>
      </c>
      <c r="F34" s="226"/>
      <c r="G34" s="336"/>
      <c r="H34" s="336"/>
      <c r="I34" s="330"/>
      <c r="J34" s="556"/>
      <c r="K34" s="557"/>
      <c r="L34" s="557"/>
      <c r="M34" s="557"/>
      <c r="N34" s="558"/>
      <c r="O34" s="226"/>
      <c r="P34" s="226"/>
      <c r="Q34" s="333"/>
      <c r="R34" s="226"/>
      <c r="S34" s="226"/>
      <c r="T34" s="333"/>
      <c r="U34" s="226"/>
      <c r="V34" s="226"/>
      <c r="W34" s="226"/>
      <c r="X34" s="333"/>
      <c r="Y34" s="204" t="str">
        <f t="shared" si="0"/>
        <v/>
      </c>
      <c r="Z34" s="322" t="str">
        <f t="shared" si="11"/>
        <v/>
      </c>
      <c r="AA34" s="409"/>
      <c r="AB34" s="413"/>
      <c r="AF34" s="531" t="str">
        <f t="shared" si="1"/>
        <v/>
      </c>
      <c r="AG34" s="531" t="str">
        <f t="shared" si="2"/>
        <v/>
      </c>
      <c r="AH34" s="531" t="str">
        <f t="shared" si="3"/>
        <v/>
      </c>
      <c r="AI34" s="531" t="str">
        <f t="shared" si="4"/>
        <v/>
      </c>
      <c r="AJ34" s="531" t="str">
        <f t="shared" si="5"/>
        <v/>
      </c>
      <c r="AK34" s="531" t="str">
        <f t="shared" si="6"/>
        <v/>
      </c>
      <c r="AL34" s="531" t="str">
        <f t="shared" si="12"/>
        <v/>
      </c>
      <c r="AP34" s="400">
        <v>24</v>
      </c>
      <c r="AS34" s="400" t="str">
        <f t="shared" si="8"/>
        <v/>
      </c>
      <c r="AX34" s="400" t="str">
        <f t="shared" si="9"/>
        <v/>
      </c>
    </row>
    <row r="35" spans="1:50" ht="18" customHeight="1">
      <c r="A35" s="156">
        <v>25</v>
      </c>
      <c r="B35" s="416"/>
      <c r="C35" s="204"/>
      <c r="D35" s="422"/>
      <c r="E35" s="225" t="str">
        <f t="shared" ca="1" si="10"/>
        <v/>
      </c>
      <c r="F35" s="226"/>
      <c r="G35" s="336"/>
      <c r="H35" s="336"/>
      <c r="I35" s="330"/>
      <c r="J35" s="556"/>
      <c r="K35" s="557"/>
      <c r="L35" s="557"/>
      <c r="M35" s="557"/>
      <c r="N35" s="558"/>
      <c r="O35" s="226"/>
      <c r="P35" s="226"/>
      <c r="Q35" s="333"/>
      <c r="R35" s="226"/>
      <c r="S35" s="226"/>
      <c r="T35" s="333"/>
      <c r="U35" s="226"/>
      <c r="V35" s="226"/>
      <c r="W35" s="226"/>
      <c r="X35" s="333"/>
      <c r="Y35" s="204" t="str">
        <f t="shared" si="0"/>
        <v/>
      </c>
      <c r="Z35" s="322" t="str">
        <f t="shared" si="11"/>
        <v/>
      </c>
      <c r="AA35" s="409"/>
      <c r="AB35" s="413"/>
      <c r="AF35" s="531" t="str">
        <f t="shared" si="1"/>
        <v/>
      </c>
      <c r="AG35" s="531" t="str">
        <f t="shared" si="2"/>
        <v/>
      </c>
      <c r="AH35" s="531" t="str">
        <f t="shared" si="3"/>
        <v/>
      </c>
      <c r="AI35" s="531" t="str">
        <f t="shared" si="4"/>
        <v/>
      </c>
      <c r="AJ35" s="531" t="str">
        <f t="shared" si="5"/>
        <v/>
      </c>
      <c r="AK35" s="531" t="str">
        <f t="shared" si="6"/>
        <v/>
      </c>
      <c r="AL35" s="531" t="str">
        <f t="shared" si="12"/>
        <v/>
      </c>
      <c r="AP35" s="400">
        <v>25</v>
      </c>
      <c r="AS35" s="400" t="str">
        <f t="shared" si="8"/>
        <v/>
      </c>
      <c r="AX35" s="400" t="str">
        <f t="shared" si="9"/>
        <v/>
      </c>
    </row>
    <row r="36" spans="1:50" ht="18" customHeight="1">
      <c r="A36" s="156">
        <v>26</v>
      </c>
      <c r="B36" s="416"/>
      <c r="C36" s="204"/>
      <c r="D36" s="422"/>
      <c r="E36" s="225" t="str">
        <f t="shared" ca="1" si="10"/>
        <v/>
      </c>
      <c r="F36" s="226"/>
      <c r="G36" s="336"/>
      <c r="H36" s="336"/>
      <c r="I36" s="330"/>
      <c r="J36" s="556"/>
      <c r="K36" s="557"/>
      <c r="L36" s="557"/>
      <c r="M36" s="557"/>
      <c r="N36" s="558"/>
      <c r="O36" s="226"/>
      <c r="P36" s="226"/>
      <c r="Q36" s="333"/>
      <c r="R36" s="226"/>
      <c r="S36" s="226"/>
      <c r="T36" s="333"/>
      <c r="U36" s="226"/>
      <c r="V36" s="226"/>
      <c r="W36" s="226"/>
      <c r="X36" s="333"/>
      <c r="Y36" s="204" t="str">
        <f t="shared" si="0"/>
        <v/>
      </c>
      <c r="Z36" s="322" t="str">
        <f t="shared" si="11"/>
        <v/>
      </c>
      <c r="AA36" s="409"/>
      <c r="AB36" s="413"/>
      <c r="AF36" s="531" t="str">
        <f t="shared" si="1"/>
        <v/>
      </c>
      <c r="AG36" s="531" t="str">
        <f t="shared" si="2"/>
        <v/>
      </c>
      <c r="AH36" s="531" t="str">
        <f t="shared" si="3"/>
        <v/>
      </c>
      <c r="AI36" s="531" t="str">
        <f t="shared" si="4"/>
        <v/>
      </c>
      <c r="AJ36" s="531" t="str">
        <f t="shared" si="5"/>
        <v/>
      </c>
      <c r="AK36" s="531" t="str">
        <f t="shared" si="6"/>
        <v/>
      </c>
      <c r="AL36" s="531" t="str">
        <f t="shared" si="12"/>
        <v/>
      </c>
      <c r="AP36" s="400">
        <v>26</v>
      </c>
      <c r="AS36" s="400" t="str">
        <f t="shared" si="8"/>
        <v/>
      </c>
      <c r="AX36" s="400" t="str">
        <f t="shared" si="9"/>
        <v/>
      </c>
    </row>
    <row r="37" spans="1:50" ht="18" customHeight="1">
      <c r="A37" s="156">
        <v>27</v>
      </c>
      <c r="B37" s="416"/>
      <c r="C37" s="204"/>
      <c r="D37" s="422"/>
      <c r="E37" s="225" t="str">
        <f t="shared" ca="1" si="10"/>
        <v/>
      </c>
      <c r="F37" s="226"/>
      <c r="G37" s="336"/>
      <c r="H37" s="336"/>
      <c r="I37" s="330"/>
      <c r="J37" s="556"/>
      <c r="K37" s="557"/>
      <c r="L37" s="557"/>
      <c r="M37" s="557"/>
      <c r="N37" s="558"/>
      <c r="O37" s="226"/>
      <c r="P37" s="226"/>
      <c r="Q37" s="333"/>
      <c r="R37" s="226"/>
      <c r="S37" s="226"/>
      <c r="T37" s="333"/>
      <c r="U37" s="226"/>
      <c r="V37" s="226"/>
      <c r="W37" s="226"/>
      <c r="X37" s="333"/>
      <c r="Y37" s="204" t="str">
        <f t="shared" si="0"/>
        <v/>
      </c>
      <c r="Z37" s="322" t="str">
        <f t="shared" si="11"/>
        <v/>
      </c>
      <c r="AA37" s="409"/>
      <c r="AB37" s="413"/>
      <c r="AF37" s="531" t="str">
        <f t="shared" si="1"/>
        <v/>
      </c>
      <c r="AG37" s="531" t="str">
        <f t="shared" si="2"/>
        <v/>
      </c>
      <c r="AH37" s="531" t="str">
        <f t="shared" si="3"/>
        <v/>
      </c>
      <c r="AI37" s="531" t="str">
        <f t="shared" si="4"/>
        <v/>
      </c>
      <c r="AJ37" s="531" t="str">
        <f t="shared" si="5"/>
        <v/>
      </c>
      <c r="AK37" s="531" t="str">
        <f t="shared" si="6"/>
        <v/>
      </c>
      <c r="AL37" s="531" t="str">
        <f t="shared" si="12"/>
        <v/>
      </c>
      <c r="AP37" s="400">
        <v>27</v>
      </c>
      <c r="AS37" s="400" t="str">
        <f t="shared" si="8"/>
        <v/>
      </c>
      <c r="AX37" s="400" t="str">
        <f t="shared" si="9"/>
        <v/>
      </c>
    </row>
    <row r="38" spans="1:50" ht="18" customHeight="1">
      <c r="A38" s="156">
        <v>28</v>
      </c>
      <c r="B38" s="416"/>
      <c r="C38" s="204"/>
      <c r="D38" s="422"/>
      <c r="E38" s="225" t="str">
        <f t="shared" ca="1" si="10"/>
        <v/>
      </c>
      <c r="F38" s="226"/>
      <c r="G38" s="336"/>
      <c r="H38" s="336"/>
      <c r="I38" s="330"/>
      <c r="J38" s="556"/>
      <c r="K38" s="557"/>
      <c r="L38" s="557"/>
      <c r="M38" s="557"/>
      <c r="N38" s="558"/>
      <c r="O38" s="226"/>
      <c r="P38" s="226"/>
      <c r="Q38" s="333"/>
      <c r="R38" s="226"/>
      <c r="S38" s="226"/>
      <c r="T38" s="333"/>
      <c r="U38" s="226"/>
      <c r="V38" s="226"/>
      <c r="W38" s="226"/>
      <c r="X38" s="333"/>
      <c r="Y38" s="204" t="str">
        <f t="shared" si="0"/>
        <v/>
      </c>
      <c r="Z38" s="322" t="str">
        <f t="shared" si="11"/>
        <v/>
      </c>
      <c r="AA38" s="409"/>
      <c r="AB38" s="413"/>
      <c r="AF38" s="531" t="str">
        <f t="shared" si="1"/>
        <v/>
      </c>
      <c r="AG38" s="531" t="str">
        <f t="shared" si="2"/>
        <v/>
      </c>
      <c r="AH38" s="531" t="str">
        <f t="shared" si="3"/>
        <v/>
      </c>
      <c r="AI38" s="531" t="str">
        <f t="shared" si="4"/>
        <v/>
      </c>
      <c r="AJ38" s="531" t="str">
        <f t="shared" si="5"/>
        <v/>
      </c>
      <c r="AK38" s="531" t="str">
        <f t="shared" si="6"/>
        <v/>
      </c>
      <c r="AL38" s="531" t="str">
        <f t="shared" si="12"/>
        <v/>
      </c>
      <c r="AP38" s="400">
        <v>28</v>
      </c>
      <c r="AS38" s="400" t="str">
        <f t="shared" si="8"/>
        <v/>
      </c>
      <c r="AX38" s="400" t="str">
        <f t="shared" si="9"/>
        <v/>
      </c>
    </row>
    <row r="39" spans="1:50" ht="18" customHeight="1">
      <c r="A39" s="156">
        <v>29</v>
      </c>
      <c r="B39" s="416"/>
      <c r="C39" s="204"/>
      <c r="D39" s="422"/>
      <c r="E39" s="225" t="str">
        <f t="shared" ca="1" si="10"/>
        <v/>
      </c>
      <c r="F39" s="226"/>
      <c r="G39" s="336"/>
      <c r="H39" s="336"/>
      <c r="I39" s="330"/>
      <c r="J39" s="556"/>
      <c r="K39" s="557"/>
      <c r="L39" s="557"/>
      <c r="M39" s="557"/>
      <c r="N39" s="558"/>
      <c r="O39" s="226"/>
      <c r="P39" s="226"/>
      <c r="Q39" s="333"/>
      <c r="R39" s="226"/>
      <c r="S39" s="226"/>
      <c r="T39" s="333"/>
      <c r="U39" s="226"/>
      <c r="V39" s="226"/>
      <c r="W39" s="226"/>
      <c r="X39" s="333"/>
      <c r="Y39" s="204" t="str">
        <f t="shared" si="0"/>
        <v/>
      </c>
      <c r="Z39" s="322" t="str">
        <f t="shared" si="11"/>
        <v/>
      </c>
      <c r="AA39" s="409"/>
      <c r="AB39" s="413"/>
      <c r="AF39" s="531" t="str">
        <f t="shared" si="1"/>
        <v/>
      </c>
      <c r="AG39" s="531" t="str">
        <f t="shared" si="2"/>
        <v/>
      </c>
      <c r="AH39" s="531" t="str">
        <f t="shared" si="3"/>
        <v/>
      </c>
      <c r="AI39" s="531" t="str">
        <f t="shared" si="4"/>
        <v/>
      </c>
      <c r="AJ39" s="531" t="str">
        <f t="shared" si="5"/>
        <v/>
      </c>
      <c r="AK39" s="531" t="str">
        <f t="shared" si="6"/>
        <v/>
      </c>
      <c r="AL39" s="531" t="str">
        <f t="shared" si="12"/>
        <v/>
      </c>
      <c r="AP39" s="400">
        <v>29</v>
      </c>
      <c r="AS39" s="400" t="str">
        <f t="shared" si="8"/>
        <v/>
      </c>
      <c r="AX39" s="400" t="str">
        <f t="shared" si="9"/>
        <v/>
      </c>
    </row>
    <row r="40" spans="1:50" ht="18" customHeight="1">
      <c r="A40" s="156">
        <v>30</v>
      </c>
      <c r="B40" s="416"/>
      <c r="C40" s="204"/>
      <c r="D40" s="422"/>
      <c r="E40" s="225" t="str">
        <f t="shared" ca="1" si="10"/>
        <v/>
      </c>
      <c r="F40" s="226"/>
      <c r="G40" s="336"/>
      <c r="H40" s="336"/>
      <c r="I40" s="330"/>
      <c r="J40" s="556"/>
      <c r="K40" s="557"/>
      <c r="L40" s="557"/>
      <c r="M40" s="557"/>
      <c r="N40" s="558"/>
      <c r="O40" s="226"/>
      <c r="P40" s="226"/>
      <c r="Q40" s="333"/>
      <c r="R40" s="226"/>
      <c r="S40" s="226"/>
      <c r="T40" s="333"/>
      <c r="U40" s="226"/>
      <c r="V40" s="226"/>
      <c r="W40" s="226"/>
      <c r="X40" s="333"/>
      <c r="Y40" s="204" t="str">
        <f t="shared" si="0"/>
        <v/>
      </c>
      <c r="Z40" s="322" t="str">
        <f t="shared" si="11"/>
        <v/>
      </c>
      <c r="AA40" s="409"/>
      <c r="AB40" s="413"/>
      <c r="AF40" s="531" t="str">
        <f t="shared" si="1"/>
        <v/>
      </c>
      <c r="AG40" s="531" t="str">
        <f t="shared" si="2"/>
        <v/>
      </c>
      <c r="AH40" s="531" t="str">
        <f t="shared" si="3"/>
        <v/>
      </c>
      <c r="AI40" s="531" t="str">
        <f t="shared" si="4"/>
        <v/>
      </c>
      <c r="AJ40" s="531" t="str">
        <f t="shared" si="5"/>
        <v/>
      </c>
      <c r="AK40" s="531" t="str">
        <f t="shared" si="6"/>
        <v/>
      </c>
      <c r="AL40" s="531" t="str">
        <f t="shared" ref="AL40:AL59" si="13">IF(SUM(AH40:AI40)=0,"",SUM(AH40:AI40))</f>
        <v/>
      </c>
      <c r="AP40" s="400">
        <v>30</v>
      </c>
      <c r="AS40" s="400" t="str">
        <f t="shared" si="8"/>
        <v/>
      </c>
      <c r="AX40" s="400" t="str">
        <f t="shared" si="9"/>
        <v/>
      </c>
    </row>
    <row r="41" spans="1:50" ht="18" hidden="1" customHeight="1">
      <c r="A41" s="156">
        <v>31</v>
      </c>
      <c r="B41" s="416"/>
      <c r="C41" s="204"/>
      <c r="D41" s="422"/>
      <c r="E41" s="225" t="str">
        <f t="shared" ca="1" si="10"/>
        <v/>
      </c>
      <c r="F41" s="226"/>
      <c r="G41" s="336"/>
      <c r="H41" s="336"/>
      <c r="I41" s="330"/>
      <c r="J41" s="556"/>
      <c r="K41" s="557"/>
      <c r="L41" s="557"/>
      <c r="M41" s="557"/>
      <c r="N41" s="558"/>
      <c r="O41" s="226"/>
      <c r="P41" s="226"/>
      <c r="Q41" s="333"/>
      <c r="R41" s="226"/>
      <c r="S41" s="226"/>
      <c r="T41" s="333"/>
      <c r="U41" s="226"/>
      <c r="V41" s="226"/>
      <c r="W41" s="226"/>
      <c r="X41" s="333"/>
      <c r="Y41" s="204" t="str">
        <f t="shared" si="0"/>
        <v/>
      </c>
      <c r="Z41" s="322" t="str">
        <f t="shared" si="11"/>
        <v/>
      </c>
      <c r="AA41" s="409"/>
      <c r="AB41" s="413"/>
      <c r="AF41" s="531" t="str">
        <f t="shared" si="1"/>
        <v/>
      </c>
      <c r="AG41" s="531" t="str">
        <f t="shared" si="2"/>
        <v/>
      </c>
      <c r="AH41" s="531" t="str">
        <f t="shared" si="3"/>
        <v/>
      </c>
      <c r="AI41" s="531" t="str">
        <f t="shared" si="4"/>
        <v/>
      </c>
      <c r="AJ41" s="531" t="str">
        <f t="shared" si="5"/>
        <v/>
      </c>
      <c r="AK41" s="531" t="str">
        <f t="shared" si="6"/>
        <v/>
      </c>
      <c r="AL41" s="531" t="str">
        <f t="shared" si="13"/>
        <v/>
      </c>
      <c r="AP41" s="400">
        <v>31</v>
      </c>
      <c r="AS41" s="400" t="str">
        <f t="shared" si="8"/>
        <v/>
      </c>
      <c r="AX41" s="400" t="str">
        <f t="shared" si="9"/>
        <v/>
      </c>
    </row>
    <row r="42" spans="1:50" ht="18" hidden="1" customHeight="1">
      <c r="A42" s="156">
        <v>32</v>
      </c>
      <c r="B42" s="416"/>
      <c r="C42" s="204"/>
      <c r="D42" s="422"/>
      <c r="E42" s="225" t="str">
        <f t="shared" ca="1" si="10"/>
        <v/>
      </c>
      <c r="F42" s="226"/>
      <c r="G42" s="336"/>
      <c r="H42" s="336"/>
      <c r="I42" s="330"/>
      <c r="J42" s="556"/>
      <c r="K42" s="557"/>
      <c r="L42" s="557"/>
      <c r="M42" s="557"/>
      <c r="N42" s="558"/>
      <c r="O42" s="226"/>
      <c r="P42" s="226"/>
      <c r="Q42" s="333"/>
      <c r="R42" s="226"/>
      <c r="S42" s="226"/>
      <c r="T42" s="333"/>
      <c r="U42" s="226"/>
      <c r="V42" s="226"/>
      <c r="W42" s="226"/>
      <c r="X42" s="333"/>
      <c r="Y42" s="204" t="str">
        <f t="shared" si="0"/>
        <v/>
      </c>
      <c r="Z42" s="322" t="str">
        <f t="shared" si="11"/>
        <v/>
      </c>
      <c r="AA42" s="409"/>
      <c r="AB42" s="413"/>
      <c r="AF42" s="531" t="str">
        <f t="shared" si="1"/>
        <v/>
      </c>
      <c r="AG42" s="531" t="str">
        <f t="shared" si="2"/>
        <v/>
      </c>
      <c r="AH42" s="531" t="str">
        <f t="shared" si="3"/>
        <v/>
      </c>
      <c r="AI42" s="531" t="str">
        <f t="shared" si="4"/>
        <v/>
      </c>
      <c r="AJ42" s="531" t="str">
        <f t="shared" si="5"/>
        <v/>
      </c>
      <c r="AK42" s="531" t="str">
        <f t="shared" si="6"/>
        <v/>
      </c>
      <c r="AL42" s="531" t="str">
        <f t="shared" si="13"/>
        <v/>
      </c>
      <c r="AP42" s="400">
        <v>32</v>
      </c>
      <c r="AS42" s="400" t="str">
        <f t="shared" si="8"/>
        <v/>
      </c>
      <c r="AX42" s="400" t="str">
        <f t="shared" si="9"/>
        <v/>
      </c>
    </row>
    <row r="43" spans="1:50" ht="18" hidden="1" customHeight="1">
      <c r="A43" s="156">
        <v>33</v>
      </c>
      <c r="B43" s="416"/>
      <c r="C43" s="204"/>
      <c r="D43" s="422"/>
      <c r="E43" s="225" t="str">
        <f t="shared" ca="1" si="10"/>
        <v/>
      </c>
      <c r="F43" s="226"/>
      <c r="G43" s="336"/>
      <c r="H43" s="336"/>
      <c r="I43" s="330"/>
      <c r="J43" s="556"/>
      <c r="K43" s="557"/>
      <c r="L43" s="557"/>
      <c r="M43" s="557"/>
      <c r="N43" s="558"/>
      <c r="O43" s="226"/>
      <c r="P43" s="226"/>
      <c r="Q43" s="333"/>
      <c r="R43" s="226"/>
      <c r="S43" s="226"/>
      <c r="T43" s="333"/>
      <c r="U43" s="226"/>
      <c r="V43" s="226"/>
      <c r="W43" s="226"/>
      <c r="X43" s="333"/>
      <c r="Y43" s="204" t="str">
        <f t="shared" si="0"/>
        <v/>
      </c>
      <c r="Z43" s="322" t="str">
        <f t="shared" si="11"/>
        <v/>
      </c>
      <c r="AA43" s="409"/>
      <c r="AB43" s="413"/>
      <c r="AF43" s="531" t="str">
        <f t="shared" si="1"/>
        <v/>
      </c>
      <c r="AG43" s="531" t="str">
        <f t="shared" si="2"/>
        <v/>
      </c>
      <c r="AH43" s="531" t="str">
        <f t="shared" si="3"/>
        <v/>
      </c>
      <c r="AI43" s="531" t="str">
        <f t="shared" si="4"/>
        <v/>
      </c>
      <c r="AJ43" s="531" t="str">
        <f t="shared" si="5"/>
        <v/>
      </c>
      <c r="AK43" s="531" t="str">
        <f t="shared" si="6"/>
        <v/>
      </c>
      <c r="AL43" s="531" t="str">
        <f t="shared" si="13"/>
        <v/>
      </c>
      <c r="AP43" s="400">
        <v>33</v>
      </c>
      <c r="AS43" s="400" t="str">
        <f t="shared" si="8"/>
        <v/>
      </c>
      <c r="AX43" s="400" t="str">
        <f t="shared" si="9"/>
        <v/>
      </c>
    </row>
    <row r="44" spans="1:50" ht="18" hidden="1" customHeight="1">
      <c r="A44" s="156">
        <v>34</v>
      </c>
      <c r="B44" s="416"/>
      <c r="C44" s="204"/>
      <c r="D44" s="422"/>
      <c r="E44" s="225" t="str">
        <f t="shared" ca="1" si="10"/>
        <v/>
      </c>
      <c r="F44" s="226"/>
      <c r="G44" s="336"/>
      <c r="H44" s="336"/>
      <c r="I44" s="330"/>
      <c r="J44" s="556"/>
      <c r="K44" s="557"/>
      <c r="L44" s="557"/>
      <c r="M44" s="557"/>
      <c r="N44" s="558"/>
      <c r="O44" s="226"/>
      <c r="P44" s="226"/>
      <c r="Q44" s="333"/>
      <c r="R44" s="226"/>
      <c r="S44" s="226"/>
      <c r="T44" s="333"/>
      <c r="U44" s="226"/>
      <c r="V44" s="226"/>
      <c r="W44" s="226"/>
      <c r="X44" s="333"/>
      <c r="Y44" s="204" t="str">
        <f t="shared" si="0"/>
        <v/>
      </c>
      <c r="Z44" s="322" t="str">
        <f t="shared" si="11"/>
        <v/>
      </c>
      <c r="AA44" s="409"/>
      <c r="AB44" s="413"/>
      <c r="AF44" s="531" t="str">
        <f t="shared" si="1"/>
        <v/>
      </c>
      <c r="AG44" s="531" t="str">
        <f t="shared" si="2"/>
        <v/>
      </c>
      <c r="AH44" s="531" t="str">
        <f t="shared" si="3"/>
        <v/>
      </c>
      <c r="AI44" s="531" t="str">
        <f t="shared" si="4"/>
        <v/>
      </c>
      <c r="AJ44" s="531" t="str">
        <f t="shared" si="5"/>
        <v/>
      </c>
      <c r="AK44" s="531" t="str">
        <f t="shared" si="6"/>
        <v/>
      </c>
      <c r="AL44" s="531" t="str">
        <f t="shared" si="13"/>
        <v/>
      </c>
      <c r="AP44" s="400">
        <v>34</v>
      </c>
      <c r="AS44" s="400" t="str">
        <f t="shared" si="8"/>
        <v/>
      </c>
      <c r="AX44" s="400" t="str">
        <f t="shared" si="9"/>
        <v/>
      </c>
    </row>
    <row r="45" spans="1:50" ht="18" hidden="1" customHeight="1">
      <c r="A45" s="156">
        <v>35</v>
      </c>
      <c r="B45" s="416"/>
      <c r="C45" s="204"/>
      <c r="D45" s="422"/>
      <c r="E45" s="225" t="str">
        <f t="shared" ca="1" si="10"/>
        <v/>
      </c>
      <c r="F45" s="226"/>
      <c r="G45" s="336"/>
      <c r="H45" s="336"/>
      <c r="I45" s="330"/>
      <c r="J45" s="556"/>
      <c r="K45" s="557"/>
      <c r="L45" s="557"/>
      <c r="M45" s="557"/>
      <c r="N45" s="558"/>
      <c r="O45" s="226"/>
      <c r="P45" s="226"/>
      <c r="Q45" s="333"/>
      <c r="R45" s="226"/>
      <c r="S45" s="226"/>
      <c r="T45" s="333"/>
      <c r="U45" s="226"/>
      <c r="V45" s="226"/>
      <c r="W45" s="226"/>
      <c r="X45" s="333"/>
      <c r="Y45" s="204" t="str">
        <f t="shared" si="0"/>
        <v/>
      </c>
      <c r="Z45" s="322" t="str">
        <f t="shared" si="11"/>
        <v/>
      </c>
      <c r="AA45" s="409"/>
      <c r="AB45" s="413"/>
      <c r="AF45" s="531" t="str">
        <f t="shared" si="1"/>
        <v/>
      </c>
      <c r="AG45" s="531" t="str">
        <f t="shared" si="2"/>
        <v/>
      </c>
      <c r="AH45" s="531" t="str">
        <f t="shared" si="3"/>
        <v/>
      </c>
      <c r="AI45" s="531" t="str">
        <f t="shared" si="4"/>
        <v/>
      </c>
      <c r="AJ45" s="531" t="str">
        <f t="shared" si="5"/>
        <v/>
      </c>
      <c r="AK45" s="531" t="str">
        <f t="shared" si="6"/>
        <v/>
      </c>
      <c r="AL45" s="531" t="str">
        <f t="shared" si="13"/>
        <v/>
      </c>
      <c r="AP45" s="400">
        <v>35</v>
      </c>
      <c r="AS45" s="400" t="str">
        <f t="shared" si="8"/>
        <v/>
      </c>
      <c r="AX45" s="400" t="str">
        <f t="shared" si="9"/>
        <v/>
      </c>
    </row>
    <row r="46" spans="1:50" ht="18" hidden="1" customHeight="1">
      <c r="A46" s="156">
        <v>36</v>
      </c>
      <c r="B46" s="416"/>
      <c r="C46" s="204"/>
      <c r="D46" s="422"/>
      <c r="E46" s="225" t="str">
        <f t="shared" ca="1" si="10"/>
        <v/>
      </c>
      <c r="F46" s="226"/>
      <c r="G46" s="336"/>
      <c r="H46" s="336"/>
      <c r="I46" s="330"/>
      <c r="J46" s="556"/>
      <c r="K46" s="557"/>
      <c r="L46" s="557"/>
      <c r="M46" s="557"/>
      <c r="N46" s="558"/>
      <c r="O46" s="226"/>
      <c r="P46" s="226"/>
      <c r="Q46" s="333"/>
      <c r="R46" s="226"/>
      <c r="S46" s="226"/>
      <c r="T46" s="333"/>
      <c r="U46" s="226"/>
      <c r="V46" s="226"/>
      <c r="W46" s="226"/>
      <c r="X46" s="333"/>
      <c r="Y46" s="204" t="str">
        <f t="shared" si="0"/>
        <v/>
      </c>
      <c r="Z46" s="322" t="str">
        <f t="shared" si="11"/>
        <v/>
      </c>
      <c r="AA46" s="409"/>
      <c r="AB46" s="413"/>
      <c r="AF46" s="531" t="str">
        <f t="shared" si="1"/>
        <v/>
      </c>
      <c r="AG46" s="531" t="str">
        <f t="shared" si="2"/>
        <v/>
      </c>
      <c r="AH46" s="531" t="str">
        <f t="shared" si="3"/>
        <v/>
      </c>
      <c r="AI46" s="531" t="str">
        <f t="shared" si="4"/>
        <v/>
      </c>
      <c r="AJ46" s="531" t="str">
        <f t="shared" si="5"/>
        <v/>
      </c>
      <c r="AK46" s="531" t="str">
        <f t="shared" si="6"/>
        <v/>
      </c>
      <c r="AL46" s="531" t="str">
        <f t="shared" si="13"/>
        <v/>
      </c>
      <c r="AP46" s="400">
        <v>36</v>
      </c>
      <c r="AS46" s="400" t="str">
        <f t="shared" si="8"/>
        <v/>
      </c>
      <c r="AX46" s="400" t="str">
        <f t="shared" si="9"/>
        <v/>
      </c>
    </row>
    <row r="47" spans="1:50" ht="18" hidden="1" customHeight="1">
      <c r="A47" s="156">
        <v>37</v>
      </c>
      <c r="B47" s="416"/>
      <c r="C47" s="204"/>
      <c r="D47" s="422"/>
      <c r="E47" s="225" t="str">
        <f t="shared" ca="1" si="10"/>
        <v/>
      </c>
      <c r="F47" s="226"/>
      <c r="G47" s="336"/>
      <c r="H47" s="336"/>
      <c r="I47" s="330"/>
      <c r="J47" s="556"/>
      <c r="K47" s="557"/>
      <c r="L47" s="557"/>
      <c r="M47" s="557"/>
      <c r="N47" s="558"/>
      <c r="O47" s="226"/>
      <c r="P47" s="226"/>
      <c r="Q47" s="333"/>
      <c r="R47" s="226"/>
      <c r="S47" s="226"/>
      <c r="T47" s="333"/>
      <c r="U47" s="226"/>
      <c r="V47" s="226"/>
      <c r="W47" s="226"/>
      <c r="X47" s="333"/>
      <c r="Y47" s="204" t="str">
        <f t="shared" si="0"/>
        <v/>
      </c>
      <c r="Z47" s="322" t="str">
        <f t="shared" si="11"/>
        <v/>
      </c>
      <c r="AA47" s="409"/>
      <c r="AB47" s="413"/>
      <c r="AF47" s="531" t="str">
        <f t="shared" si="1"/>
        <v/>
      </c>
      <c r="AG47" s="531" t="str">
        <f t="shared" si="2"/>
        <v/>
      </c>
      <c r="AH47" s="531" t="str">
        <f t="shared" si="3"/>
        <v/>
      </c>
      <c r="AI47" s="531" t="str">
        <f t="shared" si="4"/>
        <v/>
      </c>
      <c r="AJ47" s="531" t="str">
        <f t="shared" si="5"/>
        <v/>
      </c>
      <c r="AK47" s="531" t="str">
        <f t="shared" si="6"/>
        <v/>
      </c>
      <c r="AL47" s="531" t="str">
        <f t="shared" si="13"/>
        <v/>
      </c>
      <c r="AP47" s="400">
        <v>37</v>
      </c>
      <c r="AS47" s="400" t="str">
        <f t="shared" si="8"/>
        <v/>
      </c>
      <c r="AX47" s="400" t="str">
        <f t="shared" si="9"/>
        <v/>
      </c>
    </row>
    <row r="48" spans="1:50" ht="18" hidden="1" customHeight="1">
      <c r="A48" s="156">
        <v>38</v>
      </c>
      <c r="B48" s="416"/>
      <c r="C48" s="204"/>
      <c r="D48" s="422"/>
      <c r="E48" s="225" t="str">
        <f t="shared" ca="1" si="10"/>
        <v/>
      </c>
      <c r="F48" s="226"/>
      <c r="G48" s="336"/>
      <c r="H48" s="336"/>
      <c r="I48" s="330"/>
      <c r="J48" s="556"/>
      <c r="K48" s="557"/>
      <c r="L48" s="557"/>
      <c r="M48" s="557"/>
      <c r="N48" s="558"/>
      <c r="O48" s="226"/>
      <c r="P48" s="226"/>
      <c r="Q48" s="333"/>
      <c r="R48" s="226"/>
      <c r="S48" s="226"/>
      <c r="T48" s="333"/>
      <c r="U48" s="226"/>
      <c r="V48" s="226"/>
      <c r="W48" s="226"/>
      <c r="X48" s="333"/>
      <c r="Y48" s="204" t="str">
        <f t="shared" si="0"/>
        <v/>
      </c>
      <c r="Z48" s="322" t="str">
        <f t="shared" si="11"/>
        <v/>
      </c>
      <c r="AA48" s="409"/>
      <c r="AB48" s="413"/>
      <c r="AF48" s="531" t="str">
        <f t="shared" si="1"/>
        <v/>
      </c>
      <c r="AG48" s="531" t="str">
        <f t="shared" si="2"/>
        <v/>
      </c>
      <c r="AH48" s="531" t="str">
        <f t="shared" si="3"/>
        <v/>
      </c>
      <c r="AI48" s="531" t="str">
        <f t="shared" si="4"/>
        <v/>
      </c>
      <c r="AJ48" s="531" t="str">
        <f t="shared" si="5"/>
        <v/>
      </c>
      <c r="AK48" s="531" t="str">
        <f t="shared" si="6"/>
        <v/>
      </c>
      <c r="AL48" s="531" t="str">
        <f t="shared" si="13"/>
        <v/>
      </c>
      <c r="AP48" s="400">
        <v>38</v>
      </c>
      <c r="AS48" s="400" t="str">
        <f t="shared" si="8"/>
        <v/>
      </c>
      <c r="AX48" s="400" t="str">
        <f t="shared" si="9"/>
        <v/>
      </c>
    </row>
    <row r="49" spans="1:276" ht="18" hidden="1" customHeight="1">
      <c r="A49" s="156">
        <v>39</v>
      </c>
      <c r="B49" s="416"/>
      <c r="C49" s="204"/>
      <c r="D49" s="422"/>
      <c r="E49" s="225" t="str">
        <f t="shared" ca="1" si="10"/>
        <v/>
      </c>
      <c r="F49" s="226"/>
      <c r="G49" s="336"/>
      <c r="H49" s="336"/>
      <c r="I49" s="330"/>
      <c r="J49" s="556"/>
      <c r="K49" s="557"/>
      <c r="L49" s="557"/>
      <c r="M49" s="557"/>
      <c r="N49" s="558"/>
      <c r="O49" s="226"/>
      <c r="P49" s="226"/>
      <c r="Q49" s="333"/>
      <c r="R49" s="226"/>
      <c r="S49" s="226"/>
      <c r="T49" s="333"/>
      <c r="U49" s="226"/>
      <c r="V49" s="226"/>
      <c r="W49" s="226"/>
      <c r="X49" s="333"/>
      <c r="Y49" s="204" t="str">
        <f t="shared" si="0"/>
        <v/>
      </c>
      <c r="Z49" s="322" t="str">
        <f t="shared" si="11"/>
        <v/>
      </c>
      <c r="AA49" s="409"/>
      <c r="AB49" s="413"/>
      <c r="AF49" s="531" t="str">
        <f t="shared" si="1"/>
        <v/>
      </c>
      <c r="AG49" s="531" t="str">
        <f t="shared" si="2"/>
        <v/>
      </c>
      <c r="AH49" s="531" t="str">
        <f t="shared" si="3"/>
        <v/>
      </c>
      <c r="AI49" s="531" t="str">
        <f t="shared" si="4"/>
        <v/>
      </c>
      <c r="AJ49" s="531" t="str">
        <f t="shared" si="5"/>
        <v/>
      </c>
      <c r="AK49" s="531" t="str">
        <f t="shared" si="6"/>
        <v/>
      </c>
      <c r="AL49" s="531" t="str">
        <f t="shared" si="13"/>
        <v/>
      </c>
      <c r="AP49" s="400">
        <v>39</v>
      </c>
      <c r="AS49" s="400" t="str">
        <f t="shared" si="8"/>
        <v/>
      </c>
      <c r="AX49" s="400" t="str">
        <f t="shared" si="9"/>
        <v/>
      </c>
    </row>
    <row r="50" spans="1:276" ht="18" hidden="1" customHeight="1">
      <c r="A50" s="156">
        <v>40</v>
      </c>
      <c r="B50" s="416"/>
      <c r="C50" s="204"/>
      <c r="D50" s="422"/>
      <c r="E50" s="225" t="str">
        <f t="shared" ca="1" si="10"/>
        <v/>
      </c>
      <c r="F50" s="226"/>
      <c r="G50" s="336"/>
      <c r="H50" s="336"/>
      <c r="I50" s="330"/>
      <c r="J50" s="556"/>
      <c r="K50" s="557"/>
      <c r="L50" s="557"/>
      <c r="M50" s="557"/>
      <c r="N50" s="558"/>
      <c r="O50" s="226"/>
      <c r="P50" s="226"/>
      <c r="Q50" s="333"/>
      <c r="R50" s="226"/>
      <c r="S50" s="226"/>
      <c r="T50" s="333"/>
      <c r="U50" s="226"/>
      <c r="V50" s="226"/>
      <c r="W50" s="226"/>
      <c r="X50" s="333"/>
      <c r="Y50" s="204" t="str">
        <f t="shared" si="0"/>
        <v/>
      </c>
      <c r="Z50" s="322" t="str">
        <f t="shared" si="11"/>
        <v/>
      </c>
      <c r="AA50" s="409"/>
      <c r="AB50" s="413"/>
      <c r="AF50" s="531" t="str">
        <f t="shared" si="1"/>
        <v/>
      </c>
      <c r="AG50" s="531" t="str">
        <f t="shared" si="2"/>
        <v/>
      </c>
      <c r="AH50" s="531" t="str">
        <f t="shared" si="3"/>
        <v/>
      </c>
      <c r="AI50" s="531" t="str">
        <f t="shared" si="4"/>
        <v/>
      </c>
      <c r="AJ50" s="531" t="str">
        <f t="shared" si="5"/>
        <v/>
      </c>
      <c r="AK50" s="531" t="str">
        <f t="shared" si="6"/>
        <v/>
      </c>
      <c r="AL50" s="531" t="str">
        <f t="shared" si="13"/>
        <v/>
      </c>
      <c r="AP50" s="400">
        <v>40</v>
      </c>
      <c r="AS50" s="400" t="str">
        <f t="shared" si="8"/>
        <v/>
      </c>
      <c r="AX50" s="400" t="str">
        <f t="shared" si="9"/>
        <v/>
      </c>
    </row>
    <row r="51" spans="1:276" ht="18" hidden="1" customHeight="1">
      <c r="A51" s="156">
        <v>41</v>
      </c>
      <c r="B51" s="416"/>
      <c r="C51" s="204"/>
      <c r="D51" s="422"/>
      <c r="E51" s="225" t="str">
        <f t="shared" ca="1" si="10"/>
        <v/>
      </c>
      <c r="F51" s="226"/>
      <c r="G51" s="336"/>
      <c r="H51" s="336"/>
      <c r="I51" s="330"/>
      <c r="J51" s="556"/>
      <c r="K51" s="557"/>
      <c r="L51" s="557"/>
      <c r="M51" s="557"/>
      <c r="N51" s="558"/>
      <c r="O51" s="226"/>
      <c r="P51" s="226"/>
      <c r="Q51" s="333"/>
      <c r="R51" s="226"/>
      <c r="S51" s="226"/>
      <c r="T51" s="333"/>
      <c r="U51" s="226"/>
      <c r="V51" s="226"/>
      <c r="W51" s="226"/>
      <c r="X51" s="333"/>
      <c r="Y51" s="204" t="str">
        <f t="shared" si="0"/>
        <v/>
      </c>
      <c r="Z51" s="322" t="str">
        <f t="shared" si="11"/>
        <v/>
      </c>
      <c r="AA51" s="409"/>
      <c r="AB51" s="413"/>
      <c r="AF51" s="531" t="str">
        <f t="shared" si="1"/>
        <v/>
      </c>
      <c r="AG51" s="531" t="str">
        <f t="shared" si="2"/>
        <v/>
      </c>
      <c r="AH51" s="531" t="str">
        <f t="shared" si="3"/>
        <v/>
      </c>
      <c r="AI51" s="531" t="str">
        <f t="shared" si="4"/>
        <v/>
      </c>
      <c r="AJ51" s="531" t="str">
        <f t="shared" si="5"/>
        <v/>
      </c>
      <c r="AK51" s="531" t="str">
        <f t="shared" si="6"/>
        <v/>
      </c>
      <c r="AL51" s="531" t="str">
        <f t="shared" si="13"/>
        <v/>
      </c>
      <c r="AP51" s="400">
        <v>41</v>
      </c>
      <c r="AS51" s="400" t="str">
        <f t="shared" si="8"/>
        <v/>
      </c>
      <c r="AX51" s="400" t="str">
        <f t="shared" si="9"/>
        <v/>
      </c>
    </row>
    <row r="52" spans="1:276" ht="18" hidden="1" customHeight="1">
      <c r="A52" s="156">
        <v>42</v>
      </c>
      <c r="B52" s="416"/>
      <c r="C52" s="204"/>
      <c r="D52" s="422"/>
      <c r="E52" s="225" t="str">
        <f t="shared" ca="1" si="10"/>
        <v/>
      </c>
      <c r="F52" s="226"/>
      <c r="G52" s="336"/>
      <c r="H52" s="336"/>
      <c r="I52" s="330"/>
      <c r="J52" s="556"/>
      <c r="K52" s="557"/>
      <c r="L52" s="557"/>
      <c r="M52" s="557"/>
      <c r="N52" s="558"/>
      <c r="O52" s="226"/>
      <c r="P52" s="226"/>
      <c r="Q52" s="333"/>
      <c r="R52" s="226"/>
      <c r="S52" s="226"/>
      <c r="T52" s="333"/>
      <c r="U52" s="226"/>
      <c r="V52" s="226"/>
      <c r="W52" s="226"/>
      <c r="X52" s="333"/>
      <c r="Y52" s="204" t="str">
        <f t="shared" si="0"/>
        <v/>
      </c>
      <c r="Z52" s="322" t="str">
        <f t="shared" si="11"/>
        <v/>
      </c>
      <c r="AA52" s="409"/>
      <c r="AB52" s="413"/>
      <c r="AF52" s="531" t="str">
        <f t="shared" si="1"/>
        <v/>
      </c>
      <c r="AG52" s="531" t="str">
        <f t="shared" si="2"/>
        <v/>
      </c>
      <c r="AH52" s="531" t="str">
        <f t="shared" si="3"/>
        <v/>
      </c>
      <c r="AI52" s="531" t="str">
        <f t="shared" si="4"/>
        <v/>
      </c>
      <c r="AJ52" s="531" t="str">
        <f t="shared" si="5"/>
        <v/>
      </c>
      <c r="AK52" s="531" t="str">
        <f t="shared" si="6"/>
        <v/>
      </c>
      <c r="AL52" s="531" t="str">
        <f t="shared" si="13"/>
        <v/>
      </c>
      <c r="AP52" s="400">
        <v>42</v>
      </c>
      <c r="AS52" s="400" t="str">
        <f t="shared" si="8"/>
        <v/>
      </c>
      <c r="AX52" s="400" t="str">
        <f t="shared" si="9"/>
        <v/>
      </c>
    </row>
    <row r="53" spans="1:276" ht="18" hidden="1" customHeight="1">
      <c r="A53" s="156">
        <v>43</v>
      </c>
      <c r="B53" s="416"/>
      <c r="C53" s="204"/>
      <c r="D53" s="422"/>
      <c r="E53" s="225" t="str">
        <f t="shared" ca="1" si="10"/>
        <v/>
      </c>
      <c r="F53" s="226"/>
      <c r="G53" s="336"/>
      <c r="H53" s="336"/>
      <c r="I53" s="330"/>
      <c r="J53" s="556"/>
      <c r="K53" s="557"/>
      <c r="L53" s="557"/>
      <c r="M53" s="557"/>
      <c r="N53" s="558"/>
      <c r="O53" s="226"/>
      <c r="P53" s="226"/>
      <c r="Q53" s="333"/>
      <c r="R53" s="226"/>
      <c r="S53" s="226"/>
      <c r="T53" s="333"/>
      <c r="U53" s="226"/>
      <c r="V53" s="226"/>
      <c r="W53" s="226"/>
      <c r="X53" s="333"/>
      <c r="Y53" s="204" t="str">
        <f t="shared" si="0"/>
        <v/>
      </c>
      <c r="Z53" s="322" t="str">
        <f t="shared" si="11"/>
        <v/>
      </c>
      <c r="AA53" s="409"/>
      <c r="AB53" s="413"/>
      <c r="AF53" s="531" t="str">
        <f t="shared" si="1"/>
        <v/>
      </c>
      <c r="AG53" s="531" t="str">
        <f t="shared" si="2"/>
        <v/>
      </c>
      <c r="AH53" s="531" t="str">
        <f t="shared" si="3"/>
        <v/>
      </c>
      <c r="AI53" s="531" t="str">
        <f t="shared" si="4"/>
        <v/>
      </c>
      <c r="AJ53" s="531" t="str">
        <f t="shared" si="5"/>
        <v/>
      </c>
      <c r="AK53" s="531" t="str">
        <f t="shared" si="6"/>
        <v/>
      </c>
      <c r="AL53" s="531" t="str">
        <f t="shared" si="13"/>
        <v/>
      </c>
      <c r="AP53" s="400">
        <v>43</v>
      </c>
      <c r="AS53" s="400" t="str">
        <f t="shared" si="8"/>
        <v/>
      </c>
      <c r="AX53" s="400" t="str">
        <f t="shared" si="9"/>
        <v/>
      </c>
    </row>
    <row r="54" spans="1:276" s="378" customFormat="1" ht="18" hidden="1" customHeight="1">
      <c r="A54" s="156">
        <v>44</v>
      </c>
      <c r="B54" s="416"/>
      <c r="C54" s="204"/>
      <c r="D54" s="422"/>
      <c r="E54" s="225" t="str">
        <f t="shared" ca="1" si="10"/>
        <v/>
      </c>
      <c r="F54" s="226"/>
      <c r="G54" s="336"/>
      <c r="H54" s="336"/>
      <c r="I54" s="330"/>
      <c r="J54" s="528"/>
      <c r="K54" s="529"/>
      <c r="L54" s="529"/>
      <c r="M54" s="529"/>
      <c r="N54" s="530"/>
      <c r="O54" s="226"/>
      <c r="P54" s="226"/>
      <c r="Q54" s="333"/>
      <c r="R54" s="226"/>
      <c r="S54" s="226"/>
      <c r="T54" s="333"/>
      <c r="U54" s="226"/>
      <c r="V54" s="226"/>
      <c r="W54" s="226"/>
      <c r="X54" s="333"/>
      <c r="Y54" s="204" t="str">
        <f t="shared" ref="Y54:Y58" si="14">IF(B54="","","EFECTIVO")</f>
        <v/>
      </c>
      <c r="Z54" s="322" t="str">
        <f t="shared" ref="Z54:Z58" si="15">IF(Y54="EFECTIVO","MOSTRAR",IF(OR(Y54="RETIRADO",Y54="TRASLADO"),"OCULTAR",""))</f>
        <v/>
      </c>
      <c r="AA54" s="409"/>
      <c r="AB54" s="413"/>
      <c r="AC54" s="26"/>
      <c r="AD54" s="26"/>
      <c r="AE54" s="26"/>
      <c r="AF54" s="531" t="str">
        <f t="shared" ref="AF54:AF58" si="16">IF(C54="M",1,"")</f>
        <v/>
      </c>
      <c r="AG54" s="531" t="str">
        <f t="shared" ref="AG54:AG58" si="17">IF(C54="F",1,"")</f>
        <v/>
      </c>
      <c r="AH54" s="531" t="str">
        <f t="shared" ref="AH54:AH58" si="18">IF(Y54="EFECTIVO",IF(C54="M",1,""),"")</f>
        <v/>
      </c>
      <c r="AI54" s="531" t="str">
        <f t="shared" ref="AI54:AI58" si="19">IF(Y54="EFECTIVO",IF(C54="F",1,""),"")</f>
        <v/>
      </c>
      <c r="AJ54" s="531" t="str">
        <f t="shared" ref="AJ54:AJ58" si="20">IF(Y54="RETIRADO",IF(C54="M",1,""),"")</f>
        <v/>
      </c>
      <c r="AK54" s="531" t="str">
        <f t="shared" ref="AK54:AK58" si="21">IF(Y54="RETIRADO",IF(C54="F",1,""),"")</f>
        <v/>
      </c>
      <c r="AL54" s="531" t="str">
        <f t="shared" ref="AL54:AL58" si="22">IF(SUM(AH54:AI54)=0,"",SUM(AH54:AI54))</f>
        <v/>
      </c>
      <c r="AM54" s="531"/>
      <c r="AN54" s="26"/>
      <c r="AO54" s="26"/>
      <c r="AP54" s="400">
        <v>44</v>
      </c>
      <c r="AQ54" s="26"/>
      <c r="AR54" s="26"/>
      <c r="AS54" s="400" t="str">
        <f t="shared" si="8"/>
        <v/>
      </c>
      <c r="AT54" s="400"/>
      <c r="AU54" s="400"/>
      <c r="AV54" s="400"/>
      <c r="AW54" s="400"/>
      <c r="AX54" s="400" t="str">
        <f t="shared" si="9"/>
        <v/>
      </c>
      <c r="AY54" s="26"/>
      <c r="AZ54" s="26"/>
      <c r="BA54" s="26"/>
      <c r="BB54" s="26"/>
      <c r="BC54" s="26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511"/>
      <c r="DA54" s="511"/>
      <c r="DB54" s="511"/>
      <c r="DC54" s="511"/>
      <c r="DD54" s="511"/>
      <c r="DE54" s="511"/>
      <c r="DF54" s="511"/>
      <c r="DG54" s="511"/>
      <c r="DH54" s="511"/>
      <c r="DI54" s="511"/>
      <c r="DJ54" s="511"/>
      <c r="DK54" s="511"/>
      <c r="DL54" s="511"/>
      <c r="DM54" s="511"/>
      <c r="DN54" s="511"/>
      <c r="DO54" s="511"/>
      <c r="DP54" s="511"/>
      <c r="DQ54" s="511"/>
      <c r="DR54" s="511"/>
      <c r="DS54" s="511"/>
      <c r="DT54" s="511"/>
      <c r="DU54" s="511"/>
      <c r="DV54" s="511"/>
      <c r="DW54" s="511"/>
      <c r="DX54" s="511"/>
      <c r="DY54" s="511"/>
      <c r="DZ54" s="511"/>
      <c r="EA54" s="511"/>
      <c r="EB54" s="511"/>
      <c r="EC54" s="511"/>
      <c r="ED54" s="511"/>
      <c r="EE54" s="511"/>
      <c r="EF54" s="511"/>
      <c r="EG54" s="511"/>
      <c r="EH54" s="511"/>
      <c r="EI54" s="511"/>
      <c r="EJ54" s="511"/>
      <c r="EK54" s="511"/>
      <c r="EL54" s="511"/>
      <c r="EM54" s="511"/>
      <c r="EN54" s="511"/>
      <c r="EO54" s="511"/>
      <c r="EP54" s="511"/>
      <c r="EQ54" s="511"/>
      <c r="ER54" s="511"/>
      <c r="ES54" s="511"/>
      <c r="ET54" s="511"/>
      <c r="EU54" s="511"/>
      <c r="EV54" s="511"/>
      <c r="EW54" s="511"/>
      <c r="EX54" s="511"/>
      <c r="EY54" s="511"/>
      <c r="EZ54" s="511"/>
      <c r="FA54" s="511"/>
      <c r="FB54" s="511"/>
      <c r="FC54" s="511"/>
      <c r="FD54" s="511"/>
      <c r="FE54" s="511"/>
      <c r="FF54" s="511"/>
      <c r="FG54" s="511"/>
      <c r="FH54" s="511"/>
      <c r="FI54" s="511"/>
      <c r="FJ54" s="511"/>
      <c r="FK54" s="511"/>
      <c r="FL54" s="511"/>
      <c r="FM54" s="511"/>
      <c r="FN54" s="511"/>
      <c r="FO54" s="511"/>
      <c r="FP54" s="511"/>
      <c r="FQ54" s="511"/>
      <c r="FR54" s="511"/>
      <c r="FS54" s="511"/>
      <c r="FT54" s="511"/>
      <c r="FU54" s="511"/>
      <c r="FV54" s="511"/>
      <c r="FW54" s="511"/>
      <c r="FX54" s="511"/>
      <c r="FY54" s="511"/>
      <c r="FZ54" s="511"/>
      <c r="GA54" s="511"/>
      <c r="GB54" s="511"/>
      <c r="GC54" s="511"/>
      <c r="GD54" s="511"/>
      <c r="GE54" s="511"/>
      <c r="GF54" s="511"/>
      <c r="GG54" s="511"/>
      <c r="GH54" s="511"/>
      <c r="GI54" s="511"/>
      <c r="GJ54" s="511"/>
      <c r="GK54" s="511"/>
      <c r="GL54" s="511"/>
      <c r="GM54" s="511"/>
      <c r="GN54" s="511"/>
      <c r="GO54" s="511"/>
      <c r="GP54" s="511"/>
      <c r="GQ54" s="511"/>
      <c r="GR54" s="511"/>
      <c r="GS54" s="511"/>
      <c r="GT54" s="511"/>
      <c r="GU54" s="511"/>
      <c r="GV54" s="511"/>
      <c r="GW54" s="511"/>
      <c r="GX54" s="511"/>
      <c r="GY54" s="511"/>
      <c r="GZ54" s="511"/>
      <c r="HA54" s="511"/>
      <c r="HB54" s="511"/>
      <c r="HC54" s="511"/>
      <c r="HD54" s="511"/>
      <c r="HE54" s="511"/>
      <c r="HF54" s="511"/>
      <c r="HG54" s="511"/>
      <c r="HH54" s="511"/>
      <c r="HI54" s="511"/>
      <c r="HJ54" s="511"/>
      <c r="HK54" s="511"/>
      <c r="HL54" s="511"/>
      <c r="HM54" s="511"/>
      <c r="HN54" s="511"/>
      <c r="HO54" s="511"/>
      <c r="HP54" s="511"/>
      <c r="HQ54" s="511"/>
      <c r="HR54" s="511"/>
      <c r="HS54" s="511"/>
      <c r="HT54" s="511"/>
      <c r="HU54" s="511"/>
      <c r="HV54" s="511"/>
      <c r="HW54" s="511"/>
      <c r="HX54" s="511"/>
      <c r="HY54" s="511"/>
      <c r="HZ54" s="511"/>
      <c r="IA54" s="511"/>
      <c r="IB54" s="511"/>
      <c r="IC54" s="511"/>
      <c r="ID54" s="511"/>
      <c r="IE54" s="511"/>
      <c r="IF54" s="511"/>
      <c r="IG54" s="511"/>
      <c r="IH54" s="511"/>
      <c r="II54" s="511"/>
      <c r="IJ54" s="511"/>
      <c r="IK54" s="511"/>
      <c r="IL54" s="511"/>
      <c r="IM54" s="511"/>
      <c r="IN54" s="511"/>
      <c r="IO54" s="511"/>
      <c r="IP54" s="511"/>
      <c r="IQ54" s="511"/>
      <c r="IR54" s="511"/>
      <c r="IS54" s="511"/>
      <c r="IT54" s="511"/>
      <c r="IU54" s="511"/>
      <c r="IV54" s="511"/>
      <c r="IW54" s="511"/>
      <c r="IX54" s="511"/>
      <c r="IY54" s="511"/>
      <c r="IZ54" s="511"/>
      <c r="JA54" s="511"/>
      <c r="JB54" s="511"/>
      <c r="JC54" s="511"/>
      <c r="JD54" s="511"/>
      <c r="JE54" s="511"/>
      <c r="JF54" s="511"/>
      <c r="JG54" s="511"/>
      <c r="JH54" s="511"/>
      <c r="JI54" s="511"/>
      <c r="JJ54" s="511"/>
      <c r="JK54" s="511"/>
      <c r="JL54" s="511"/>
      <c r="JM54" s="511"/>
      <c r="JN54" s="511"/>
      <c r="JO54" s="511"/>
      <c r="JP54" s="511"/>
    </row>
    <row r="55" spans="1:276" s="378" customFormat="1" ht="18" hidden="1" customHeight="1">
      <c r="A55" s="156">
        <v>45</v>
      </c>
      <c r="B55" s="416"/>
      <c r="C55" s="204"/>
      <c r="D55" s="422"/>
      <c r="E55" s="225" t="str">
        <f t="shared" ca="1" si="10"/>
        <v/>
      </c>
      <c r="F55" s="226"/>
      <c r="G55" s="336"/>
      <c r="H55" s="336"/>
      <c r="I55" s="330"/>
      <c r="J55" s="528"/>
      <c r="K55" s="529"/>
      <c r="L55" s="529"/>
      <c r="M55" s="529"/>
      <c r="N55" s="530"/>
      <c r="O55" s="226"/>
      <c r="P55" s="226"/>
      <c r="Q55" s="333"/>
      <c r="R55" s="226"/>
      <c r="S55" s="226"/>
      <c r="T55" s="333"/>
      <c r="U55" s="226"/>
      <c r="V55" s="226"/>
      <c r="W55" s="226"/>
      <c r="X55" s="333"/>
      <c r="Y55" s="204" t="str">
        <f t="shared" si="14"/>
        <v/>
      </c>
      <c r="Z55" s="322" t="str">
        <f t="shared" si="15"/>
        <v/>
      </c>
      <c r="AA55" s="409"/>
      <c r="AB55" s="413"/>
      <c r="AC55" s="26"/>
      <c r="AD55" s="26"/>
      <c r="AE55" s="26"/>
      <c r="AF55" s="531" t="str">
        <f t="shared" si="16"/>
        <v/>
      </c>
      <c r="AG55" s="531" t="str">
        <f t="shared" si="17"/>
        <v/>
      </c>
      <c r="AH55" s="531" t="str">
        <f t="shared" si="18"/>
        <v/>
      </c>
      <c r="AI55" s="531" t="str">
        <f t="shared" si="19"/>
        <v/>
      </c>
      <c r="AJ55" s="531" t="str">
        <f t="shared" si="20"/>
        <v/>
      </c>
      <c r="AK55" s="531" t="str">
        <f t="shared" si="21"/>
        <v/>
      </c>
      <c r="AL55" s="531" t="str">
        <f t="shared" si="22"/>
        <v/>
      </c>
      <c r="AM55" s="531"/>
      <c r="AN55" s="26"/>
      <c r="AO55" s="26"/>
      <c r="AP55" s="400">
        <v>45</v>
      </c>
      <c r="AQ55" s="26"/>
      <c r="AR55" s="26"/>
      <c r="AS55" s="400" t="str">
        <f t="shared" si="8"/>
        <v/>
      </c>
      <c r="AT55" s="400"/>
      <c r="AU55" s="400"/>
      <c r="AV55" s="400"/>
      <c r="AW55" s="400"/>
      <c r="AX55" s="400" t="str">
        <f t="shared" si="9"/>
        <v/>
      </c>
      <c r="AY55" s="26"/>
      <c r="AZ55" s="26"/>
      <c r="BA55" s="26"/>
      <c r="BB55" s="26"/>
      <c r="BC55" s="26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511"/>
      <c r="DA55" s="511"/>
      <c r="DB55" s="511"/>
      <c r="DC55" s="511"/>
      <c r="DD55" s="511"/>
      <c r="DE55" s="511"/>
      <c r="DF55" s="511"/>
      <c r="DG55" s="511"/>
      <c r="DH55" s="511"/>
      <c r="DI55" s="511"/>
      <c r="DJ55" s="511"/>
      <c r="DK55" s="511"/>
      <c r="DL55" s="511"/>
      <c r="DM55" s="511"/>
      <c r="DN55" s="511"/>
      <c r="DO55" s="511"/>
      <c r="DP55" s="511"/>
      <c r="DQ55" s="511"/>
      <c r="DR55" s="511"/>
      <c r="DS55" s="511"/>
      <c r="DT55" s="511"/>
      <c r="DU55" s="511"/>
      <c r="DV55" s="511"/>
      <c r="DW55" s="511"/>
      <c r="DX55" s="511"/>
      <c r="DY55" s="511"/>
      <c r="DZ55" s="511"/>
      <c r="EA55" s="511"/>
      <c r="EB55" s="511"/>
      <c r="EC55" s="511"/>
      <c r="ED55" s="511"/>
      <c r="EE55" s="511"/>
      <c r="EF55" s="511"/>
      <c r="EG55" s="511"/>
      <c r="EH55" s="511"/>
      <c r="EI55" s="511"/>
      <c r="EJ55" s="511"/>
      <c r="EK55" s="511"/>
      <c r="EL55" s="511"/>
      <c r="EM55" s="511"/>
      <c r="EN55" s="511"/>
      <c r="EO55" s="511"/>
      <c r="EP55" s="511"/>
      <c r="EQ55" s="511"/>
      <c r="ER55" s="511"/>
      <c r="ES55" s="511"/>
      <c r="ET55" s="511"/>
      <c r="EU55" s="511"/>
      <c r="EV55" s="511"/>
      <c r="EW55" s="511"/>
      <c r="EX55" s="511"/>
      <c r="EY55" s="511"/>
      <c r="EZ55" s="511"/>
      <c r="FA55" s="511"/>
      <c r="FB55" s="511"/>
      <c r="FC55" s="511"/>
      <c r="FD55" s="511"/>
      <c r="FE55" s="511"/>
      <c r="FF55" s="511"/>
      <c r="FG55" s="511"/>
      <c r="FH55" s="511"/>
      <c r="FI55" s="511"/>
      <c r="FJ55" s="511"/>
      <c r="FK55" s="511"/>
      <c r="FL55" s="511"/>
      <c r="FM55" s="511"/>
      <c r="FN55" s="511"/>
      <c r="FO55" s="511"/>
      <c r="FP55" s="511"/>
      <c r="FQ55" s="511"/>
      <c r="FR55" s="511"/>
      <c r="FS55" s="511"/>
      <c r="FT55" s="511"/>
      <c r="FU55" s="511"/>
      <c r="FV55" s="511"/>
      <c r="FW55" s="511"/>
      <c r="FX55" s="511"/>
      <c r="FY55" s="511"/>
      <c r="FZ55" s="511"/>
      <c r="GA55" s="511"/>
      <c r="GB55" s="511"/>
      <c r="GC55" s="511"/>
      <c r="GD55" s="511"/>
      <c r="GE55" s="511"/>
      <c r="GF55" s="511"/>
      <c r="GG55" s="511"/>
      <c r="GH55" s="511"/>
      <c r="GI55" s="511"/>
      <c r="GJ55" s="511"/>
      <c r="GK55" s="511"/>
      <c r="GL55" s="511"/>
      <c r="GM55" s="511"/>
      <c r="GN55" s="511"/>
      <c r="GO55" s="511"/>
      <c r="GP55" s="511"/>
      <c r="GQ55" s="511"/>
      <c r="GR55" s="511"/>
      <c r="GS55" s="511"/>
      <c r="GT55" s="511"/>
      <c r="GU55" s="511"/>
      <c r="GV55" s="511"/>
      <c r="GW55" s="511"/>
      <c r="GX55" s="511"/>
      <c r="GY55" s="511"/>
      <c r="GZ55" s="511"/>
      <c r="HA55" s="511"/>
      <c r="HB55" s="511"/>
      <c r="HC55" s="511"/>
      <c r="HD55" s="511"/>
      <c r="HE55" s="511"/>
      <c r="HF55" s="511"/>
      <c r="HG55" s="511"/>
      <c r="HH55" s="511"/>
      <c r="HI55" s="511"/>
      <c r="HJ55" s="511"/>
      <c r="HK55" s="511"/>
      <c r="HL55" s="511"/>
      <c r="HM55" s="511"/>
      <c r="HN55" s="511"/>
      <c r="HO55" s="511"/>
      <c r="HP55" s="511"/>
      <c r="HQ55" s="511"/>
      <c r="HR55" s="511"/>
      <c r="HS55" s="511"/>
      <c r="HT55" s="511"/>
      <c r="HU55" s="511"/>
      <c r="HV55" s="511"/>
      <c r="HW55" s="511"/>
      <c r="HX55" s="511"/>
      <c r="HY55" s="511"/>
      <c r="HZ55" s="511"/>
      <c r="IA55" s="511"/>
      <c r="IB55" s="511"/>
      <c r="IC55" s="511"/>
      <c r="ID55" s="511"/>
      <c r="IE55" s="511"/>
      <c r="IF55" s="511"/>
      <c r="IG55" s="511"/>
      <c r="IH55" s="511"/>
      <c r="II55" s="511"/>
      <c r="IJ55" s="511"/>
      <c r="IK55" s="511"/>
      <c r="IL55" s="511"/>
      <c r="IM55" s="511"/>
      <c r="IN55" s="511"/>
      <c r="IO55" s="511"/>
      <c r="IP55" s="511"/>
      <c r="IQ55" s="511"/>
      <c r="IR55" s="511"/>
      <c r="IS55" s="511"/>
      <c r="IT55" s="511"/>
      <c r="IU55" s="511"/>
      <c r="IV55" s="511"/>
      <c r="IW55" s="511"/>
      <c r="IX55" s="511"/>
      <c r="IY55" s="511"/>
      <c r="IZ55" s="511"/>
      <c r="JA55" s="511"/>
      <c r="JB55" s="511"/>
      <c r="JC55" s="511"/>
      <c r="JD55" s="511"/>
      <c r="JE55" s="511"/>
      <c r="JF55" s="511"/>
      <c r="JG55" s="511"/>
      <c r="JH55" s="511"/>
      <c r="JI55" s="511"/>
      <c r="JJ55" s="511"/>
      <c r="JK55" s="511"/>
      <c r="JL55" s="511"/>
      <c r="JM55" s="511"/>
      <c r="JN55" s="511"/>
      <c r="JO55" s="511"/>
      <c r="JP55" s="511"/>
    </row>
    <row r="56" spans="1:276" s="378" customFormat="1" ht="18" hidden="1" customHeight="1">
      <c r="A56" s="156">
        <v>46</v>
      </c>
      <c r="B56" s="416"/>
      <c r="C56" s="204"/>
      <c r="D56" s="422"/>
      <c r="E56" s="225" t="str">
        <f t="shared" ca="1" si="10"/>
        <v/>
      </c>
      <c r="F56" s="226"/>
      <c r="G56" s="336"/>
      <c r="H56" s="336"/>
      <c r="I56" s="330"/>
      <c r="J56" s="528"/>
      <c r="K56" s="529"/>
      <c r="L56" s="529"/>
      <c r="M56" s="529"/>
      <c r="N56" s="530"/>
      <c r="O56" s="226"/>
      <c r="P56" s="226"/>
      <c r="Q56" s="333"/>
      <c r="R56" s="226"/>
      <c r="S56" s="226"/>
      <c r="T56" s="333"/>
      <c r="U56" s="226"/>
      <c r="V56" s="226"/>
      <c r="W56" s="226"/>
      <c r="X56" s="333"/>
      <c r="Y56" s="204" t="str">
        <f t="shared" si="14"/>
        <v/>
      </c>
      <c r="Z56" s="322" t="str">
        <f t="shared" si="15"/>
        <v/>
      </c>
      <c r="AA56" s="409"/>
      <c r="AB56" s="413"/>
      <c r="AC56" s="26"/>
      <c r="AD56" s="26"/>
      <c r="AE56" s="26"/>
      <c r="AF56" s="531" t="str">
        <f t="shared" si="16"/>
        <v/>
      </c>
      <c r="AG56" s="531" t="str">
        <f t="shared" si="17"/>
        <v/>
      </c>
      <c r="AH56" s="531" t="str">
        <f t="shared" si="18"/>
        <v/>
      </c>
      <c r="AI56" s="531" t="str">
        <f t="shared" si="19"/>
        <v/>
      </c>
      <c r="AJ56" s="531" t="str">
        <f t="shared" si="20"/>
        <v/>
      </c>
      <c r="AK56" s="531" t="str">
        <f t="shared" si="21"/>
        <v/>
      </c>
      <c r="AL56" s="531" t="str">
        <f t="shared" si="22"/>
        <v/>
      </c>
      <c r="AM56" s="531"/>
      <c r="AN56" s="26"/>
      <c r="AO56" s="26"/>
      <c r="AP56" s="400">
        <v>46</v>
      </c>
      <c r="AQ56" s="26"/>
      <c r="AR56" s="26"/>
      <c r="AS56" s="400" t="str">
        <f t="shared" si="8"/>
        <v/>
      </c>
      <c r="AT56" s="400"/>
      <c r="AU56" s="400"/>
      <c r="AV56" s="400"/>
      <c r="AW56" s="400"/>
      <c r="AX56" s="400" t="str">
        <f t="shared" si="9"/>
        <v/>
      </c>
      <c r="AY56" s="26"/>
      <c r="AZ56" s="26"/>
      <c r="BA56" s="26"/>
      <c r="BB56" s="26"/>
      <c r="BC56" s="26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511"/>
      <c r="DA56" s="511"/>
      <c r="DB56" s="511"/>
      <c r="DC56" s="511"/>
      <c r="DD56" s="511"/>
      <c r="DE56" s="511"/>
      <c r="DF56" s="511"/>
      <c r="DG56" s="511"/>
      <c r="DH56" s="511"/>
      <c r="DI56" s="511"/>
      <c r="DJ56" s="511"/>
      <c r="DK56" s="511"/>
      <c r="DL56" s="511"/>
      <c r="DM56" s="511"/>
      <c r="DN56" s="511"/>
      <c r="DO56" s="511"/>
      <c r="DP56" s="511"/>
      <c r="DQ56" s="511"/>
      <c r="DR56" s="511"/>
      <c r="DS56" s="511"/>
      <c r="DT56" s="511"/>
      <c r="DU56" s="511"/>
      <c r="DV56" s="511"/>
      <c r="DW56" s="511"/>
      <c r="DX56" s="511"/>
      <c r="DY56" s="511"/>
      <c r="DZ56" s="511"/>
      <c r="EA56" s="511"/>
      <c r="EB56" s="511"/>
      <c r="EC56" s="511"/>
      <c r="ED56" s="511"/>
      <c r="EE56" s="511"/>
      <c r="EF56" s="511"/>
      <c r="EG56" s="511"/>
      <c r="EH56" s="511"/>
      <c r="EI56" s="511"/>
      <c r="EJ56" s="511"/>
      <c r="EK56" s="511"/>
      <c r="EL56" s="511"/>
      <c r="EM56" s="511"/>
      <c r="EN56" s="511"/>
      <c r="EO56" s="511"/>
      <c r="EP56" s="511"/>
      <c r="EQ56" s="511"/>
      <c r="ER56" s="511"/>
      <c r="ES56" s="511"/>
      <c r="ET56" s="511"/>
      <c r="EU56" s="511"/>
      <c r="EV56" s="511"/>
      <c r="EW56" s="511"/>
      <c r="EX56" s="511"/>
      <c r="EY56" s="511"/>
      <c r="EZ56" s="511"/>
      <c r="FA56" s="511"/>
      <c r="FB56" s="511"/>
      <c r="FC56" s="511"/>
      <c r="FD56" s="511"/>
      <c r="FE56" s="511"/>
      <c r="FF56" s="511"/>
      <c r="FG56" s="511"/>
      <c r="FH56" s="511"/>
      <c r="FI56" s="511"/>
      <c r="FJ56" s="511"/>
      <c r="FK56" s="511"/>
      <c r="FL56" s="511"/>
      <c r="FM56" s="511"/>
      <c r="FN56" s="511"/>
      <c r="FO56" s="511"/>
      <c r="FP56" s="511"/>
      <c r="FQ56" s="511"/>
      <c r="FR56" s="511"/>
      <c r="FS56" s="511"/>
      <c r="FT56" s="511"/>
      <c r="FU56" s="511"/>
      <c r="FV56" s="511"/>
      <c r="FW56" s="511"/>
      <c r="FX56" s="511"/>
      <c r="FY56" s="511"/>
      <c r="FZ56" s="511"/>
      <c r="GA56" s="511"/>
      <c r="GB56" s="511"/>
      <c r="GC56" s="511"/>
      <c r="GD56" s="511"/>
      <c r="GE56" s="511"/>
      <c r="GF56" s="511"/>
      <c r="GG56" s="511"/>
      <c r="GH56" s="511"/>
      <c r="GI56" s="511"/>
      <c r="GJ56" s="511"/>
      <c r="GK56" s="511"/>
      <c r="GL56" s="511"/>
      <c r="GM56" s="511"/>
      <c r="GN56" s="511"/>
      <c r="GO56" s="511"/>
      <c r="GP56" s="511"/>
      <c r="GQ56" s="511"/>
      <c r="GR56" s="511"/>
      <c r="GS56" s="511"/>
      <c r="GT56" s="511"/>
      <c r="GU56" s="511"/>
      <c r="GV56" s="511"/>
      <c r="GW56" s="511"/>
      <c r="GX56" s="511"/>
      <c r="GY56" s="511"/>
      <c r="GZ56" s="511"/>
      <c r="HA56" s="511"/>
      <c r="HB56" s="511"/>
      <c r="HC56" s="511"/>
      <c r="HD56" s="511"/>
      <c r="HE56" s="511"/>
      <c r="HF56" s="511"/>
      <c r="HG56" s="511"/>
      <c r="HH56" s="511"/>
      <c r="HI56" s="511"/>
      <c r="HJ56" s="511"/>
      <c r="HK56" s="511"/>
      <c r="HL56" s="511"/>
      <c r="HM56" s="511"/>
      <c r="HN56" s="511"/>
      <c r="HO56" s="511"/>
      <c r="HP56" s="511"/>
      <c r="HQ56" s="511"/>
      <c r="HR56" s="511"/>
      <c r="HS56" s="511"/>
      <c r="HT56" s="511"/>
      <c r="HU56" s="511"/>
      <c r="HV56" s="511"/>
      <c r="HW56" s="511"/>
      <c r="HX56" s="511"/>
      <c r="HY56" s="511"/>
      <c r="HZ56" s="511"/>
      <c r="IA56" s="511"/>
      <c r="IB56" s="511"/>
      <c r="IC56" s="511"/>
      <c r="ID56" s="511"/>
      <c r="IE56" s="511"/>
      <c r="IF56" s="511"/>
      <c r="IG56" s="511"/>
      <c r="IH56" s="511"/>
      <c r="II56" s="511"/>
      <c r="IJ56" s="511"/>
      <c r="IK56" s="511"/>
      <c r="IL56" s="511"/>
      <c r="IM56" s="511"/>
      <c r="IN56" s="511"/>
      <c r="IO56" s="511"/>
      <c r="IP56" s="511"/>
      <c r="IQ56" s="511"/>
      <c r="IR56" s="511"/>
      <c r="IS56" s="511"/>
      <c r="IT56" s="511"/>
      <c r="IU56" s="511"/>
      <c r="IV56" s="511"/>
      <c r="IW56" s="511"/>
      <c r="IX56" s="511"/>
      <c r="IY56" s="511"/>
      <c r="IZ56" s="511"/>
      <c r="JA56" s="511"/>
      <c r="JB56" s="511"/>
      <c r="JC56" s="511"/>
      <c r="JD56" s="511"/>
      <c r="JE56" s="511"/>
      <c r="JF56" s="511"/>
      <c r="JG56" s="511"/>
      <c r="JH56" s="511"/>
      <c r="JI56" s="511"/>
      <c r="JJ56" s="511"/>
      <c r="JK56" s="511"/>
      <c r="JL56" s="511"/>
      <c r="JM56" s="511"/>
      <c r="JN56" s="511"/>
      <c r="JO56" s="511"/>
      <c r="JP56" s="511"/>
    </row>
    <row r="57" spans="1:276" s="378" customFormat="1" ht="18" hidden="1" customHeight="1">
      <c r="A57" s="156">
        <v>47</v>
      </c>
      <c r="B57" s="416"/>
      <c r="C57" s="204"/>
      <c r="D57" s="422"/>
      <c r="E57" s="225" t="str">
        <f t="shared" ca="1" si="10"/>
        <v/>
      </c>
      <c r="F57" s="226"/>
      <c r="G57" s="336"/>
      <c r="H57" s="336"/>
      <c r="I57" s="330"/>
      <c r="J57" s="528"/>
      <c r="K57" s="529"/>
      <c r="L57" s="529"/>
      <c r="M57" s="529"/>
      <c r="N57" s="530"/>
      <c r="O57" s="226"/>
      <c r="P57" s="226"/>
      <c r="Q57" s="333"/>
      <c r="R57" s="226"/>
      <c r="S57" s="226"/>
      <c r="T57" s="333"/>
      <c r="U57" s="226"/>
      <c r="V57" s="226"/>
      <c r="W57" s="226"/>
      <c r="X57" s="333"/>
      <c r="Y57" s="204" t="str">
        <f t="shared" si="14"/>
        <v/>
      </c>
      <c r="Z57" s="322" t="str">
        <f t="shared" si="15"/>
        <v/>
      </c>
      <c r="AA57" s="409"/>
      <c r="AB57" s="413"/>
      <c r="AC57" s="26"/>
      <c r="AD57" s="26"/>
      <c r="AE57" s="26"/>
      <c r="AF57" s="531" t="str">
        <f t="shared" si="16"/>
        <v/>
      </c>
      <c r="AG57" s="531" t="str">
        <f t="shared" si="17"/>
        <v/>
      </c>
      <c r="AH57" s="531" t="str">
        <f t="shared" si="18"/>
        <v/>
      </c>
      <c r="AI57" s="531" t="str">
        <f t="shared" si="19"/>
        <v/>
      </c>
      <c r="AJ57" s="531" t="str">
        <f t="shared" si="20"/>
        <v/>
      </c>
      <c r="AK57" s="531" t="str">
        <f t="shared" si="21"/>
        <v/>
      </c>
      <c r="AL57" s="531" t="str">
        <f t="shared" si="22"/>
        <v/>
      </c>
      <c r="AM57" s="531"/>
      <c r="AN57" s="26"/>
      <c r="AO57" s="26"/>
      <c r="AP57" s="400">
        <v>47</v>
      </c>
      <c r="AQ57" s="26"/>
      <c r="AR57" s="26"/>
      <c r="AS57" s="400" t="str">
        <f t="shared" si="8"/>
        <v/>
      </c>
      <c r="AT57" s="400"/>
      <c r="AU57" s="400"/>
      <c r="AV57" s="400"/>
      <c r="AW57" s="400"/>
      <c r="AX57" s="400" t="str">
        <f t="shared" si="9"/>
        <v/>
      </c>
      <c r="AY57" s="26"/>
      <c r="AZ57" s="26"/>
      <c r="BA57" s="26"/>
      <c r="BB57" s="26"/>
      <c r="BC57" s="26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511"/>
      <c r="DA57" s="511"/>
      <c r="DB57" s="511"/>
      <c r="DC57" s="511"/>
      <c r="DD57" s="511"/>
      <c r="DE57" s="511"/>
      <c r="DF57" s="511"/>
      <c r="DG57" s="511"/>
      <c r="DH57" s="511"/>
      <c r="DI57" s="511"/>
      <c r="DJ57" s="511"/>
      <c r="DK57" s="511"/>
      <c r="DL57" s="511"/>
      <c r="DM57" s="511"/>
      <c r="DN57" s="511"/>
      <c r="DO57" s="511"/>
      <c r="DP57" s="511"/>
      <c r="DQ57" s="511"/>
      <c r="DR57" s="511"/>
      <c r="DS57" s="511"/>
      <c r="DT57" s="511"/>
      <c r="DU57" s="511"/>
      <c r="DV57" s="511"/>
      <c r="DW57" s="511"/>
      <c r="DX57" s="511"/>
      <c r="DY57" s="511"/>
      <c r="DZ57" s="511"/>
      <c r="EA57" s="511"/>
      <c r="EB57" s="511"/>
      <c r="EC57" s="511"/>
      <c r="ED57" s="511"/>
      <c r="EE57" s="511"/>
      <c r="EF57" s="511"/>
      <c r="EG57" s="511"/>
      <c r="EH57" s="511"/>
      <c r="EI57" s="511"/>
      <c r="EJ57" s="511"/>
      <c r="EK57" s="511"/>
      <c r="EL57" s="511"/>
      <c r="EM57" s="511"/>
      <c r="EN57" s="511"/>
      <c r="EO57" s="511"/>
      <c r="EP57" s="511"/>
      <c r="EQ57" s="511"/>
      <c r="ER57" s="511"/>
      <c r="ES57" s="511"/>
      <c r="ET57" s="511"/>
      <c r="EU57" s="511"/>
      <c r="EV57" s="511"/>
      <c r="EW57" s="511"/>
      <c r="EX57" s="511"/>
      <c r="EY57" s="511"/>
      <c r="EZ57" s="511"/>
      <c r="FA57" s="511"/>
      <c r="FB57" s="511"/>
      <c r="FC57" s="511"/>
      <c r="FD57" s="511"/>
      <c r="FE57" s="511"/>
      <c r="FF57" s="511"/>
      <c r="FG57" s="511"/>
      <c r="FH57" s="511"/>
      <c r="FI57" s="511"/>
      <c r="FJ57" s="511"/>
      <c r="FK57" s="511"/>
      <c r="FL57" s="511"/>
      <c r="FM57" s="511"/>
      <c r="FN57" s="511"/>
      <c r="FO57" s="511"/>
      <c r="FP57" s="511"/>
      <c r="FQ57" s="511"/>
      <c r="FR57" s="511"/>
      <c r="FS57" s="511"/>
      <c r="FT57" s="511"/>
      <c r="FU57" s="511"/>
      <c r="FV57" s="511"/>
      <c r="FW57" s="511"/>
      <c r="FX57" s="511"/>
      <c r="FY57" s="511"/>
      <c r="FZ57" s="511"/>
      <c r="GA57" s="511"/>
      <c r="GB57" s="511"/>
      <c r="GC57" s="511"/>
      <c r="GD57" s="511"/>
      <c r="GE57" s="511"/>
      <c r="GF57" s="511"/>
      <c r="GG57" s="511"/>
      <c r="GH57" s="511"/>
      <c r="GI57" s="511"/>
      <c r="GJ57" s="511"/>
      <c r="GK57" s="511"/>
      <c r="GL57" s="511"/>
      <c r="GM57" s="511"/>
      <c r="GN57" s="511"/>
      <c r="GO57" s="511"/>
      <c r="GP57" s="511"/>
      <c r="GQ57" s="511"/>
      <c r="GR57" s="511"/>
      <c r="GS57" s="511"/>
      <c r="GT57" s="511"/>
      <c r="GU57" s="511"/>
      <c r="GV57" s="511"/>
      <c r="GW57" s="511"/>
      <c r="GX57" s="511"/>
      <c r="GY57" s="511"/>
      <c r="GZ57" s="511"/>
      <c r="HA57" s="511"/>
      <c r="HB57" s="511"/>
      <c r="HC57" s="511"/>
      <c r="HD57" s="511"/>
      <c r="HE57" s="511"/>
      <c r="HF57" s="511"/>
      <c r="HG57" s="511"/>
      <c r="HH57" s="511"/>
      <c r="HI57" s="511"/>
      <c r="HJ57" s="511"/>
      <c r="HK57" s="511"/>
      <c r="HL57" s="511"/>
      <c r="HM57" s="511"/>
      <c r="HN57" s="511"/>
      <c r="HO57" s="511"/>
      <c r="HP57" s="511"/>
      <c r="HQ57" s="511"/>
      <c r="HR57" s="511"/>
      <c r="HS57" s="511"/>
      <c r="HT57" s="511"/>
      <c r="HU57" s="511"/>
      <c r="HV57" s="511"/>
      <c r="HW57" s="511"/>
      <c r="HX57" s="511"/>
      <c r="HY57" s="511"/>
      <c r="HZ57" s="511"/>
      <c r="IA57" s="511"/>
      <c r="IB57" s="511"/>
      <c r="IC57" s="511"/>
      <c r="ID57" s="511"/>
      <c r="IE57" s="511"/>
      <c r="IF57" s="511"/>
      <c r="IG57" s="511"/>
      <c r="IH57" s="511"/>
      <c r="II57" s="511"/>
      <c r="IJ57" s="511"/>
      <c r="IK57" s="511"/>
      <c r="IL57" s="511"/>
      <c r="IM57" s="511"/>
      <c r="IN57" s="511"/>
      <c r="IO57" s="511"/>
      <c r="IP57" s="511"/>
      <c r="IQ57" s="511"/>
      <c r="IR57" s="511"/>
      <c r="IS57" s="511"/>
      <c r="IT57" s="511"/>
      <c r="IU57" s="511"/>
      <c r="IV57" s="511"/>
      <c r="IW57" s="511"/>
      <c r="IX57" s="511"/>
      <c r="IY57" s="511"/>
      <c r="IZ57" s="511"/>
      <c r="JA57" s="511"/>
      <c r="JB57" s="511"/>
      <c r="JC57" s="511"/>
      <c r="JD57" s="511"/>
      <c r="JE57" s="511"/>
      <c r="JF57" s="511"/>
      <c r="JG57" s="511"/>
      <c r="JH57" s="511"/>
      <c r="JI57" s="511"/>
      <c r="JJ57" s="511"/>
      <c r="JK57" s="511"/>
      <c r="JL57" s="511"/>
      <c r="JM57" s="511"/>
      <c r="JN57" s="511"/>
      <c r="JO57" s="511"/>
      <c r="JP57" s="511"/>
    </row>
    <row r="58" spans="1:276" s="378" customFormat="1" ht="18" hidden="1" customHeight="1">
      <c r="A58" s="156">
        <v>48</v>
      </c>
      <c r="B58" s="416"/>
      <c r="C58" s="204"/>
      <c r="D58" s="422"/>
      <c r="E58" s="225" t="str">
        <f t="shared" ca="1" si="10"/>
        <v/>
      </c>
      <c r="F58" s="226"/>
      <c r="G58" s="336"/>
      <c r="H58" s="336"/>
      <c r="I58" s="330"/>
      <c r="J58" s="528"/>
      <c r="K58" s="529"/>
      <c r="L58" s="529"/>
      <c r="M58" s="529"/>
      <c r="N58" s="530"/>
      <c r="O58" s="226"/>
      <c r="P58" s="226"/>
      <c r="Q58" s="333"/>
      <c r="R58" s="226"/>
      <c r="S58" s="226"/>
      <c r="T58" s="333"/>
      <c r="U58" s="226"/>
      <c r="V58" s="226"/>
      <c r="W58" s="226"/>
      <c r="X58" s="333"/>
      <c r="Y58" s="204" t="str">
        <f t="shared" si="14"/>
        <v/>
      </c>
      <c r="Z58" s="322" t="str">
        <f t="shared" si="15"/>
        <v/>
      </c>
      <c r="AA58" s="409"/>
      <c r="AB58" s="413"/>
      <c r="AC58" s="26"/>
      <c r="AD58" s="26"/>
      <c r="AE58" s="26"/>
      <c r="AF58" s="531" t="str">
        <f t="shared" si="16"/>
        <v/>
      </c>
      <c r="AG58" s="531" t="str">
        <f t="shared" si="17"/>
        <v/>
      </c>
      <c r="AH58" s="531" t="str">
        <f t="shared" si="18"/>
        <v/>
      </c>
      <c r="AI58" s="531" t="str">
        <f t="shared" si="19"/>
        <v/>
      </c>
      <c r="AJ58" s="531" t="str">
        <f t="shared" si="20"/>
        <v/>
      </c>
      <c r="AK58" s="531" t="str">
        <f t="shared" si="21"/>
        <v/>
      </c>
      <c r="AL58" s="531" t="str">
        <f t="shared" si="22"/>
        <v/>
      </c>
      <c r="AM58" s="531"/>
      <c r="AN58" s="26"/>
      <c r="AO58" s="26"/>
      <c r="AP58" s="400">
        <v>48</v>
      </c>
      <c r="AQ58" s="26"/>
      <c r="AR58" s="26"/>
      <c r="AS58" s="400" t="str">
        <f t="shared" si="8"/>
        <v/>
      </c>
      <c r="AT58" s="400"/>
      <c r="AU58" s="400"/>
      <c r="AV58" s="400"/>
      <c r="AW58" s="400"/>
      <c r="AX58" s="400" t="str">
        <f t="shared" si="9"/>
        <v/>
      </c>
      <c r="AY58" s="26"/>
      <c r="AZ58" s="26"/>
      <c r="BA58" s="26"/>
      <c r="BB58" s="26"/>
      <c r="BC58" s="26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511"/>
      <c r="DA58" s="511"/>
      <c r="DB58" s="511"/>
      <c r="DC58" s="511"/>
      <c r="DD58" s="511"/>
      <c r="DE58" s="511"/>
      <c r="DF58" s="511"/>
      <c r="DG58" s="511"/>
      <c r="DH58" s="511"/>
      <c r="DI58" s="511"/>
      <c r="DJ58" s="511"/>
      <c r="DK58" s="511"/>
      <c r="DL58" s="511"/>
      <c r="DM58" s="511"/>
      <c r="DN58" s="511"/>
      <c r="DO58" s="511"/>
      <c r="DP58" s="511"/>
      <c r="DQ58" s="511"/>
      <c r="DR58" s="511"/>
      <c r="DS58" s="511"/>
      <c r="DT58" s="511"/>
      <c r="DU58" s="511"/>
      <c r="DV58" s="511"/>
      <c r="DW58" s="511"/>
      <c r="DX58" s="511"/>
      <c r="DY58" s="511"/>
      <c r="DZ58" s="511"/>
      <c r="EA58" s="511"/>
      <c r="EB58" s="511"/>
      <c r="EC58" s="511"/>
      <c r="ED58" s="511"/>
      <c r="EE58" s="511"/>
      <c r="EF58" s="511"/>
      <c r="EG58" s="511"/>
      <c r="EH58" s="511"/>
      <c r="EI58" s="511"/>
      <c r="EJ58" s="511"/>
      <c r="EK58" s="511"/>
      <c r="EL58" s="511"/>
      <c r="EM58" s="511"/>
      <c r="EN58" s="511"/>
      <c r="EO58" s="511"/>
      <c r="EP58" s="511"/>
      <c r="EQ58" s="511"/>
      <c r="ER58" s="511"/>
      <c r="ES58" s="511"/>
      <c r="ET58" s="511"/>
      <c r="EU58" s="511"/>
      <c r="EV58" s="511"/>
      <c r="EW58" s="511"/>
      <c r="EX58" s="511"/>
      <c r="EY58" s="511"/>
      <c r="EZ58" s="511"/>
      <c r="FA58" s="511"/>
      <c r="FB58" s="511"/>
      <c r="FC58" s="511"/>
      <c r="FD58" s="511"/>
      <c r="FE58" s="511"/>
      <c r="FF58" s="511"/>
      <c r="FG58" s="511"/>
      <c r="FH58" s="511"/>
      <c r="FI58" s="511"/>
      <c r="FJ58" s="511"/>
      <c r="FK58" s="511"/>
      <c r="FL58" s="511"/>
      <c r="FM58" s="511"/>
      <c r="FN58" s="511"/>
      <c r="FO58" s="511"/>
      <c r="FP58" s="511"/>
      <c r="FQ58" s="511"/>
      <c r="FR58" s="511"/>
      <c r="FS58" s="511"/>
      <c r="FT58" s="511"/>
      <c r="FU58" s="511"/>
      <c r="FV58" s="511"/>
      <c r="FW58" s="511"/>
      <c r="FX58" s="511"/>
      <c r="FY58" s="511"/>
      <c r="FZ58" s="511"/>
      <c r="GA58" s="511"/>
      <c r="GB58" s="511"/>
      <c r="GC58" s="511"/>
      <c r="GD58" s="511"/>
      <c r="GE58" s="511"/>
      <c r="GF58" s="511"/>
      <c r="GG58" s="511"/>
      <c r="GH58" s="511"/>
      <c r="GI58" s="511"/>
      <c r="GJ58" s="511"/>
      <c r="GK58" s="511"/>
      <c r="GL58" s="511"/>
      <c r="GM58" s="511"/>
      <c r="GN58" s="511"/>
      <c r="GO58" s="511"/>
      <c r="GP58" s="511"/>
      <c r="GQ58" s="511"/>
      <c r="GR58" s="511"/>
      <c r="GS58" s="511"/>
      <c r="GT58" s="511"/>
      <c r="GU58" s="511"/>
      <c r="GV58" s="511"/>
      <c r="GW58" s="511"/>
      <c r="GX58" s="511"/>
      <c r="GY58" s="511"/>
      <c r="GZ58" s="511"/>
      <c r="HA58" s="511"/>
      <c r="HB58" s="511"/>
      <c r="HC58" s="511"/>
      <c r="HD58" s="511"/>
      <c r="HE58" s="511"/>
      <c r="HF58" s="511"/>
      <c r="HG58" s="511"/>
      <c r="HH58" s="511"/>
      <c r="HI58" s="511"/>
      <c r="HJ58" s="511"/>
      <c r="HK58" s="511"/>
      <c r="HL58" s="511"/>
      <c r="HM58" s="511"/>
      <c r="HN58" s="511"/>
      <c r="HO58" s="511"/>
      <c r="HP58" s="511"/>
      <c r="HQ58" s="511"/>
      <c r="HR58" s="511"/>
      <c r="HS58" s="511"/>
      <c r="HT58" s="511"/>
      <c r="HU58" s="511"/>
      <c r="HV58" s="511"/>
      <c r="HW58" s="511"/>
      <c r="HX58" s="511"/>
      <c r="HY58" s="511"/>
      <c r="HZ58" s="511"/>
      <c r="IA58" s="511"/>
      <c r="IB58" s="511"/>
      <c r="IC58" s="511"/>
      <c r="ID58" s="511"/>
      <c r="IE58" s="511"/>
      <c r="IF58" s="511"/>
      <c r="IG58" s="511"/>
      <c r="IH58" s="511"/>
      <c r="II58" s="511"/>
      <c r="IJ58" s="511"/>
      <c r="IK58" s="511"/>
      <c r="IL58" s="511"/>
      <c r="IM58" s="511"/>
      <c r="IN58" s="511"/>
      <c r="IO58" s="511"/>
      <c r="IP58" s="511"/>
      <c r="IQ58" s="511"/>
      <c r="IR58" s="511"/>
      <c r="IS58" s="511"/>
      <c r="IT58" s="511"/>
      <c r="IU58" s="511"/>
      <c r="IV58" s="511"/>
      <c r="IW58" s="511"/>
      <c r="IX58" s="511"/>
      <c r="IY58" s="511"/>
      <c r="IZ58" s="511"/>
      <c r="JA58" s="511"/>
      <c r="JB58" s="511"/>
      <c r="JC58" s="511"/>
      <c r="JD58" s="511"/>
      <c r="JE58" s="511"/>
      <c r="JF58" s="511"/>
      <c r="JG58" s="511"/>
      <c r="JH58" s="511"/>
      <c r="JI58" s="511"/>
      <c r="JJ58" s="511"/>
      <c r="JK58" s="511"/>
      <c r="JL58" s="511"/>
      <c r="JM58" s="511"/>
      <c r="JN58" s="511"/>
      <c r="JO58" s="511"/>
      <c r="JP58" s="511"/>
    </row>
    <row r="59" spans="1:276" ht="18" hidden="1" customHeight="1">
      <c r="A59" s="156">
        <v>49</v>
      </c>
      <c r="B59" s="416"/>
      <c r="C59" s="204"/>
      <c r="D59" s="422"/>
      <c r="E59" s="225" t="str">
        <f t="shared" ca="1" si="10"/>
        <v/>
      </c>
      <c r="F59" s="226"/>
      <c r="G59" s="336"/>
      <c r="H59" s="336"/>
      <c r="I59" s="330"/>
      <c r="J59" s="556"/>
      <c r="K59" s="557"/>
      <c r="L59" s="557"/>
      <c r="M59" s="557"/>
      <c r="N59" s="558"/>
      <c r="O59" s="226"/>
      <c r="P59" s="226"/>
      <c r="Q59" s="333"/>
      <c r="R59" s="226"/>
      <c r="S59" s="226"/>
      <c r="T59" s="333"/>
      <c r="U59" s="226"/>
      <c r="V59" s="226"/>
      <c r="W59" s="226"/>
      <c r="X59" s="333"/>
      <c r="Y59" s="204" t="str">
        <f t="shared" si="0"/>
        <v/>
      </c>
      <c r="Z59" s="322" t="str">
        <f t="shared" si="11"/>
        <v/>
      </c>
      <c r="AA59" s="409"/>
      <c r="AB59" s="413"/>
      <c r="AF59" s="531" t="str">
        <f t="shared" si="1"/>
        <v/>
      </c>
      <c r="AG59" s="531" t="str">
        <f t="shared" si="2"/>
        <v/>
      </c>
      <c r="AH59" s="531" t="str">
        <f t="shared" si="3"/>
        <v/>
      </c>
      <c r="AI59" s="531" t="str">
        <f t="shared" si="4"/>
        <v/>
      </c>
      <c r="AJ59" s="531" t="str">
        <f t="shared" si="5"/>
        <v/>
      </c>
      <c r="AK59" s="531" t="str">
        <f t="shared" si="6"/>
        <v/>
      </c>
      <c r="AL59" s="531" t="str">
        <f t="shared" si="13"/>
        <v/>
      </c>
      <c r="AP59" s="400">
        <v>49</v>
      </c>
      <c r="AS59" s="400" t="str">
        <f t="shared" si="8"/>
        <v/>
      </c>
      <c r="AX59" s="400" t="str">
        <f t="shared" si="9"/>
        <v/>
      </c>
    </row>
    <row r="60" spans="1:276" ht="18" hidden="1" customHeight="1" thickBot="1">
      <c r="A60" s="157">
        <v>50</v>
      </c>
      <c r="B60" s="417"/>
      <c r="C60" s="205"/>
      <c r="D60" s="423"/>
      <c r="E60" s="323" t="str">
        <f t="shared" ca="1" si="10"/>
        <v/>
      </c>
      <c r="F60" s="324"/>
      <c r="G60" s="337"/>
      <c r="H60" s="337"/>
      <c r="I60" s="331"/>
      <c r="J60" s="553"/>
      <c r="K60" s="554"/>
      <c r="L60" s="554"/>
      <c r="M60" s="554"/>
      <c r="N60" s="555"/>
      <c r="O60" s="324"/>
      <c r="P60" s="324"/>
      <c r="Q60" s="334"/>
      <c r="R60" s="324"/>
      <c r="S60" s="324"/>
      <c r="T60" s="334"/>
      <c r="U60" s="324"/>
      <c r="V60" s="324"/>
      <c r="W60" s="324"/>
      <c r="X60" s="334"/>
      <c r="Y60" s="205" t="str">
        <f t="shared" si="0"/>
        <v/>
      </c>
      <c r="Z60" s="325" t="str">
        <f t="shared" si="11"/>
        <v/>
      </c>
      <c r="AA60" s="414"/>
      <c r="AB60" s="415"/>
      <c r="AF60" s="531" t="str">
        <f t="shared" si="1"/>
        <v/>
      </c>
      <c r="AG60" s="531" t="str">
        <f t="shared" si="2"/>
        <v/>
      </c>
      <c r="AH60" s="531" t="str">
        <f t="shared" si="3"/>
        <v/>
      </c>
      <c r="AI60" s="531" t="str">
        <f t="shared" si="4"/>
        <v/>
      </c>
      <c r="AJ60" s="531" t="str">
        <f t="shared" si="5"/>
        <v/>
      </c>
      <c r="AK60" s="531" t="str">
        <f t="shared" si="6"/>
        <v/>
      </c>
      <c r="AL60" s="531" t="str">
        <f t="shared" ref="AL60" si="23">IF(SUM(AH60:AI60)=0,"",SUM(AH60:AI60))</f>
        <v/>
      </c>
      <c r="AP60" s="400">
        <v>50</v>
      </c>
      <c r="AS60" s="400" t="str">
        <f t="shared" si="8"/>
        <v/>
      </c>
      <c r="AX60" s="400" t="str">
        <f t="shared" si="9"/>
        <v/>
      </c>
    </row>
    <row r="61" spans="1:276" ht="15.75" customHeight="1">
      <c r="A61" s="79"/>
      <c r="B61" s="10"/>
      <c r="C61" s="80"/>
      <c r="D61" s="11"/>
      <c r="E61" s="202"/>
    </row>
    <row r="62" spans="1:276" ht="15" customHeight="1">
      <c r="AF62" s="531">
        <f t="shared" ref="AF62:AL62" si="24">SUM(AF11:AF60)</f>
        <v>0</v>
      </c>
      <c r="AG62" s="531">
        <f t="shared" si="24"/>
        <v>0</v>
      </c>
      <c r="AH62" s="531">
        <f t="shared" si="24"/>
        <v>0</v>
      </c>
      <c r="AI62" s="531">
        <f t="shared" si="24"/>
        <v>0</v>
      </c>
      <c r="AJ62" s="531">
        <f t="shared" si="24"/>
        <v>0</v>
      </c>
      <c r="AK62" s="531">
        <f t="shared" si="24"/>
        <v>0</v>
      </c>
      <c r="AL62" s="531">
        <f t="shared" si="24"/>
        <v>0</v>
      </c>
    </row>
    <row r="63" spans="1:276" ht="15" customHeight="1">
      <c r="E63" s="206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</row>
    <row r="64" spans="1:276" ht="15" customHeight="1">
      <c r="E64" s="208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AF64" s="565">
        <f>SUM(AF62:AG62)</f>
        <v>0</v>
      </c>
      <c r="AG64" s="565"/>
      <c r="AH64" s="565">
        <f>SUM(AH62:AI62)</f>
        <v>0</v>
      </c>
      <c r="AI64" s="565"/>
      <c r="AJ64" s="565">
        <f>SUM(AJ62:AK62)</f>
        <v>0</v>
      </c>
      <c r="AK64" s="565"/>
    </row>
    <row r="65" spans="1:37" ht="15" customHeight="1">
      <c r="E65" s="209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AF65" s="565" t="s">
        <v>12</v>
      </c>
      <c r="AG65" s="565"/>
      <c r="AH65" s="565" t="s">
        <v>14</v>
      </c>
      <c r="AI65" s="565"/>
      <c r="AJ65" s="565" t="s">
        <v>13</v>
      </c>
      <c r="AK65" s="565"/>
    </row>
    <row r="66" spans="1:37" ht="15" customHeight="1">
      <c r="E66" s="209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</row>
    <row r="67" spans="1:37" ht="15" customHeight="1">
      <c r="E67" s="209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</row>
    <row r="68" spans="1:37" ht="15" customHeight="1">
      <c r="E68" s="206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</row>
    <row r="69" spans="1:37" ht="15" customHeight="1">
      <c r="A69" s="53"/>
      <c r="B69" s="6"/>
      <c r="E69" s="206"/>
      <c r="F69" s="207"/>
      <c r="G69" s="207"/>
      <c r="H69" s="207"/>
      <c r="I69" s="207"/>
      <c r="J69" s="207"/>
      <c r="K69" s="207"/>
      <c r="L69" s="207"/>
      <c r="M69" s="207"/>
      <c r="N69" s="207"/>
      <c r="O69" s="207"/>
      <c r="P69" s="207"/>
      <c r="Q69" s="207"/>
      <c r="R69" s="207"/>
      <c r="S69" s="207"/>
      <c r="T69" s="207"/>
    </row>
    <row r="70" spans="1:37" ht="15" customHeight="1">
      <c r="A70" s="56"/>
    </row>
  </sheetData>
  <sheetProtection password="CF7A" sheet="1" scenarios="1" autoFilter="0"/>
  <sortState ref="B11:D52">
    <sortCondition ref="B11:B52"/>
  </sortState>
  <dataConsolidate/>
  <mergeCells count="58">
    <mergeCell ref="J26:N26"/>
    <mergeCell ref="J32:N32"/>
    <mergeCell ref="J31:N31"/>
    <mergeCell ref="J30:N30"/>
    <mergeCell ref="J29:N29"/>
    <mergeCell ref="AF7:AG7"/>
    <mergeCell ref="AH7:AI7"/>
    <mergeCell ref="AJ7:AK7"/>
    <mergeCell ref="A9:B9"/>
    <mergeCell ref="J10:N10"/>
    <mergeCell ref="J36:N36"/>
    <mergeCell ref="AF64:AG64"/>
    <mergeCell ref="AH64:AI64"/>
    <mergeCell ref="AJ64:AK64"/>
    <mergeCell ref="AF65:AG65"/>
    <mergeCell ref="AH65:AI65"/>
    <mergeCell ref="AJ65:AK65"/>
    <mergeCell ref="J50:N50"/>
    <mergeCell ref="J49:N49"/>
    <mergeCell ref="J48:N48"/>
    <mergeCell ref="J47:N47"/>
    <mergeCell ref="J46:N46"/>
    <mergeCell ref="J45:N45"/>
    <mergeCell ref="J44:N44"/>
    <mergeCell ref="J43:N43"/>
    <mergeCell ref="J42:N42"/>
    <mergeCell ref="J41:N41"/>
    <mergeCell ref="J40:N40"/>
    <mergeCell ref="J39:N39"/>
    <mergeCell ref="J38:N38"/>
    <mergeCell ref="J37:N37"/>
    <mergeCell ref="J20:N20"/>
    <mergeCell ref="J19:N19"/>
    <mergeCell ref="L4:N4"/>
    <mergeCell ref="H4:J4"/>
    <mergeCell ref="J16:N16"/>
    <mergeCell ref="J15:N15"/>
    <mergeCell ref="J14:N14"/>
    <mergeCell ref="J13:N13"/>
    <mergeCell ref="J12:N12"/>
    <mergeCell ref="J11:N11"/>
    <mergeCell ref="J18:N18"/>
    <mergeCell ref="J17:N17"/>
    <mergeCell ref="J25:N25"/>
    <mergeCell ref="J24:N24"/>
    <mergeCell ref="J23:N23"/>
    <mergeCell ref="J22:N22"/>
    <mergeCell ref="J21:N21"/>
    <mergeCell ref="J35:N35"/>
    <mergeCell ref="J34:N34"/>
    <mergeCell ref="J33:N33"/>
    <mergeCell ref="J28:N28"/>
    <mergeCell ref="J27:N27"/>
    <mergeCell ref="J60:N60"/>
    <mergeCell ref="J59:N59"/>
    <mergeCell ref="J53:N53"/>
    <mergeCell ref="J52:N52"/>
    <mergeCell ref="J51:N51"/>
  </mergeCells>
  <conditionalFormatting sqref="B10:AB10">
    <cfRule type="expression" dxfId="52" priority="3">
      <formula>COLUMN()=CELL("Columna")</formula>
    </cfRule>
  </conditionalFormatting>
  <conditionalFormatting sqref="A11:AB60">
    <cfRule type="expression" dxfId="51" priority="2">
      <formula>ROW()=CELL("Fila")</formula>
    </cfRule>
  </conditionalFormatting>
  <dataValidations xWindow="725" yWindow="269" count="8">
    <dataValidation allowBlank="1" showErrorMessage="1" promptTitle="NOTA:" prompt="Introducir el NOMBRE completo del Maestro/a" sqref="F8"/>
    <dataValidation allowBlank="1" showErrorMessage="1" sqref="C1:C3"/>
    <dataValidation type="list" allowBlank="1" showInputMessage="1" showErrorMessage="1" error="1) DEBE DE INTRODUCIR PRIMERO EL SEXO DEL PARTICIPANTE_x000a_2) ESTA INTRODUCIENDO MAL LOS DATOS" sqref="D61">
      <formula1>IF(AX61=1,$AI$3:$AI$4,"")</formula1>
    </dataValidation>
    <dataValidation allowBlank="1" promptTitle="NOTA:" prompt="Seleccionar de la lista desplegable el ESTADO de inscripción del estudiante." sqref="Y10"/>
    <dataValidation type="list" allowBlank="1" showInputMessage="1" showErrorMessage="1" sqref="Z11:Z60">
      <formula1>$AN$1:$AN$2</formula1>
    </dataValidation>
    <dataValidation type="list" allowBlank="1" showInputMessage="1" showErrorMessage="1" sqref="Y11:Y60">
      <formula1>$AI$3:$AI$5</formula1>
    </dataValidation>
    <dataValidation allowBlank="1" showInputMessage="1" showErrorMessage="1" sqref="C11:C61"/>
    <dataValidation allowBlank="1" sqref="B10:D10"/>
  </dataValidations>
  <pageMargins left="0.78740157480314965" right="0.39370078740157483" top="0.39370078740157483" bottom="0.39370078740157483" header="0.31496062992125984" footer="0.31496062992125984"/>
  <pageSetup scale="74" fitToWidth="0" orientation="landscape" horizont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FF00"/>
    <pageSetUpPr fitToPage="1"/>
  </sheetPr>
  <dimension ref="A1:IG179"/>
  <sheetViews>
    <sheetView showGridLines="0" showRowColHeaders="0" showZeros="0" zoomScale="85" zoomScaleNormal="85" workbookViewId="0">
      <selection activeCell="O7" sqref="O7"/>
    </sheetView>
  </sheetViews>
  <sheetFormatPr baseColWidth="10" defaultRowHeight="15" customHeight="1"/>
  <cols>
    <col min="1" max="1" width="4.25" style="1" customWidth="1"/>
    <col min="2" max="3" width="14.125" style="1" customWidth="1"/>
    <col min="4" max="4" width="13.25" style="1" customWidth="1"/>
    <col min="5" max="10" width="9.375" style="1" customWidth="1"/>
    <col min="11" max="11" width="1.25" style="1" customWidth="1"/>
    <col min="12" max="13" width="9.375" style="1" customWidth="1"/>
    <col min="14" max="14" width="13" style="1" customWidth="1"/>
    <col min="15" max="15" width="9.375" style="1" customWidth="1"/>
    <col min="16" max="16" width="1.375" style="1" customWidth="1"/>
    <col min="17" max="17" width="15" style="1" customWidth="1"/>
    <col min="18" max="18" width="8.25" style="26" customWidth="1"/>
    <col min="19" max="19" width="11" style="26" hidden="1" customWidth="1"/>
    <col min="20" max="26" width="11" style="43" hidden="1" customWidth="1"/>
    <col min="27" max="27" width="11" style="25" hidden="1" customWidth="1"/>
    <col min="28" max="28" width="4" style="25" customWidth="1"/>
    <col min="29" max="76" width="11" style="38"/>
    <col min="77" max="225" width="11" style="1"/>
    <col min="226" max="16384" width="11" style="3"/>
  </cols>
  <sheetData>
    <row r="1" spans="1:241" ht="16.5" customHeight="1">
      <c r="A1" s="38" t="str">
        <f>CARATULA!K2</f>
        <v>SIN NOMBRE</v>
      </c>
      <c r="C1" s="56" t="str">
        <f>IF(FILIACIÓN!C1="","",FILIACIÓN!C1)</f>
        <v xml:space="preserve">UNIDAD EDUCATIVA </v>
      </c>
      <c r="J1" s="35"/>
      <c r="L1" s="35"/>
    </row>
    <row r="2" spans="1:241" ht="16.5" customHeight="1" thickBot="1">
      <c r="A2" s="38" t="str">
        <f>IF(OR(E6="",E7="",M6="",M7=""),"FALSO","VERDADERO")</f>
        <v>FALSO</v>
      </c>
      <c r="C2" s="56" t="str">
        <f>IF(FILIACIÓN!C2="","",FILIACIÓN!C2)</f>
        <v>NIVEL SECUNDARIA COMUNITARIA PRODUCTIVA</v>
      </c>
    </row>
    <row r="3" spans="1:241" ht="16.5" customHeight="1">
      <c r="C3" s="56" t="str">
        <f>IF(FILIACIÓN!C3="","",FILIACIÓN!C3)</f>
        <v xml:space="preserve">TURNO </v>
      </c>
      <c r="F3" s="595" t="s">
        <v>188</v>
      </c>
      <c r="G3" s="595"/>
      <c r="H3" s="595"/>
      <c r="I3" s="595"/>
      <c r="J3" s="595"/>
      <c r="K3" s="595"/>
      <c r="L3" s="595"/>
      <c r="M3" s="595"/>
      <c r="N3" s="595"/>
    </row>
    <row r="4" spans="1:241" ht="16.5" customHeight="1" thickBot="1">
      <c r="C4" s="75" t="str">
        <f>IF(FILIACIÓN!E3="","",FILIACIÓN!E3)</f>
        <v xml:space="preserve">SIE </v>
      </c>
      <c r="F4" s="596"/>
      <c r="G4" s="596"/>
      <c r="H4" s="596"/>
      <c r="I4" s="596"/>
      <c r="J4" s="596"/>
      <c r="K4" s="596"/>
      <c r="L4" s="596"/>
      <c r="M4" s="596"/>
      <c r="N4" s="596"/>
      <c r="O4" s="28"/>
      <c r="P4" s="105"/>
      <c r="Q4" s="105"/>
    </row>
    <row r="5" spans="1:241" ht="16.5" customHeight="1">
      <c r="B5" s="35"/>
      <c r="C5" s="75" t="str">
        <f>IF(FILIACIÓN!C4="","",FILIACIÓN!C4)</f>
        <v>GESTION 2025</v>
      </c>
    </row>
    <row r="6" spans="1:241" ht="16.5" customHeight="1">
      <c r="B6" s="35"/>
      <c r="D6" s="35" t="s">
        <v>150</v>
      </c>
      <c r="E6" s="8" t="str">
        <f>IF(CARATULA!E33="","",CARATULA!E33)</f>
        <v/>
      </c>
      <c r="F6" s="8"/>
      <c r="G6" s="44"/>
      <c r="H6" s="44"/>
      <c r="L6" s="35" t="s">
        <v>26</v>
      </c>
      <c r="M6" s="8" t="str">
        <f>IF(CARATULA!E30="","",CARATULA!E30)</f>
        <v>nombre maestro</v>
      </c>
      <c r="N6" s="8"/>
      <c r="O6" s="44"/>
      <c r="P6" s="44"/>
      <c r="Q6" s="44"/>
    </row>
    <row r="7" spans="1:241" ht="16.5" customHeight="1">
      <c r="A7" s="56"/>
      <c r="B7" s="35"/>
      <c r="D7" s="35" t="s">
        <v>25</v>
      </c>
      <c r="E7" s="8" t="str">
        <f>IF(CARATULA!E31="","",CARATULA!E31)</f>
        <v/>
      </c>
      <c r="F7" s="8"/>
      <c r="G7" s="44"/>
      <c r="H7" s="44"/>
      <c r="L7" s="35" t="s">
        <v>27</v>
      </c>
      <c r="M7" s="8" t="str">
        <f>IF(CARATULA!E32="","",CARATULA!E32)</f>
        <v/>
      </c>
      <c r="N7" s="8"/>
      <c r="O7" s="44"/>
      <c r="P7" s="44"/>
      <c r="Q7" s="44"/>
      <c r="R7" s="536"/>
    </row>
    <row r="8" spans="1:241" ht="15.75" customHeight="1" thickBot="1">
      <c r="B8" s="35"/>
      <c r="E8" s="42"/>
      <c r="F8" s="42"/>
      <c r="G8" s="42"/>
      <c r="H8" s="42"/>
      <c r="I8" s="42"/>
      <c r="J8" s="42"/>
      <c r="K8" s="42"/>
      <c r="L8" s="5"/>
      <c r="M8" s="5"/>
      <c r="N8" s="54"/>
      <c r="O8" s="54"/>
      <c r="P8" s="54"/>
      <c r="Q8" s="54"/>
      <c r="R8" s="536"/>
      <c r="S8" s="25"/>
    </row>
    <row r="9" spans="1:241" ht="18" customHeight="1" thickBot="1">
      <c r="B9" s="388"/>
      <c r="C9" s="29"/>
      <c r="D9" s="32"/>
      <c r="E9" s="607" t="s">
        <v>187</v>
      </c>
      <c r="F9" s="607"/>
      <c r="G9" s="607"/>
      <c r="H9" s="607"/>
      <c r="I9" s="607"/>
      <c r="J9" s="607"/>
      <c r="K9" s="36"/>
      <c r="L9" s="608" t="s">
        <v>130</v>
      </c>
      <c r="M9" s="608"/>
      <c r="N9" s="608"/>
      <c r="O9" s="608"/>
      <c r="P9" s="302"/>
      <c r="Q9" s="581" t="s">
        <v>247</v>
      </c>
      <c r="R9" s="601" t="s">
        <v>3</v>
      </c>
      <c r="S9" s="537"/>
      <c r="AB9" s="602" t="s">
        <v>289</v>
      </c>
    </row>
    <row r="10" spans="1:241" ht="18" customHeight="1" thickBot="1">
      <c r="A10" s="579"/>
      <c r="B10" s="579"/>
      <c r="C10" s="579"/>
      <c r="D10" s="579"/>
      <c r="E10" s="580" t="s">
        <v>228</v>
      </c>
      <c r="F10" s="580"/>
      <c r="G10" s="580" t="s">
        <v>229</v>
      </c>
      <c r="H10" s="580"/>
      <c r="I10" s="580" t="s">
        <v>230</v>
      </c>
      <c r="J10" s="580"/>
      <c r="K10" s="36"/>
      <c r="L10" s="574" t="s">
        <v>28</v>
      </c>
      <c r="M10" s="597" t="s">
        <v>29</v>
      </c>
      <c r="N10" s="598"/>
      <c r="O10" s="609" t="s">
        <v>180</v>
      </c>
      <c r="P10" s="303"/>
      <c r="Q10" s="582"/>
      <c r="R10" s="601"/>
      <c r="S10" s="111"/>
      <c r="X10" s="532"/>
      <c r="Y10" s="532"/>
      <c r="Z10" s="532"/>
      <c r="AA10" s="532"/>
      <c r="AB10" s="602"/>
    </row>
    <row r="11" spans="1:241" s="1" customFormat="1" ht="27.75" customHeight="1" thickBot="1">
      <c r="A11" s="131" t="s">
        <v>0</v>
      </c>
      <c r="B11" s="576" t="s">
        <v>200</v>
      </c>
      <c r="C11" s="577"/>
      <c r="D11" s="578"/>
      <c r="E11" s="102" t="s">
        <v>179</v>
      </c>
      <c r="F11" s="103" t="s">
        <v>180</v>
      </c>
      <c r="G11" s="104" t="s">
        <v>179</v>
      </c>
      <c r="H11" s="103" t="s">
        <v>180</v>
      </c>
      <c r="I11" s="104" t="s">
        <v>179</v>
      </c>
      <c r="J11" s="103" t="s">
        <v>180</v>
      </c>
      <c r="K11" s="37"/>
      <c r="L11" s="575"/>
      <c r="M11" s="599"/>
      <c r="N11" s="600"/>
      <c r="O11" s="609"/>
      <c r="P11" s="303"/>
      <c r="Q11" s="583"/>
      <c r="R11" s="601"/>
      <c r="S11" s="111" t="s">
        <v>245</v>
      </c>
      <c r="T11" s="200" t="s">
        <v>6</v>
      </c>
      <c r="U11" s="200" t="s">
        <v>18</v>
      </c>
      <c r="V11" s="200" t="s">
        <v>19</v>
      </c>
      <c r="W11" s="200" t="s">
        <v>13</v>
      </c>
      <c r="X11" s="41"/>
      <c r="Y11" s="532"/>
      <c r="Z11" s="532" t="s">
        <v>253</v>
      </c>
      <c r="AA11" s="532"/>
      <c r="AB11" s="602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</row>
    <row r="12" spans="1:241" s="1" customFormat="1" ht="23.1" customHeight="1">
      <c r="A12" s="132">
        <f>--SUBTOTAL(2,Z$11:Z12)</f>
        <v>1</v>
      </c>
      <c r="B12" s="584" t="str">
        <f>IF(FILIACIÓN!B11="","",UPPER(FILIACIÓN!B11))</f>
        <v/>
      </c>
      <c r="C12" s="585"/>
      <c r="D12" s="586"/>
      <c r="E12" s="133" t="str">
        <f>'1ER TRIMESTRE'!BM13</f>
        <v/>
      </c>
      <c r="F12" s="134" t="str">
        <f>IF(AND(E12&gt;=1,E12&lt;=50),"ED",IF(AND(E12&gt;=51,E12&lt;=68),"DA",IF(AND(E12&gt;=69,E12&lt;=84),"DO",IF(AND(E12&gt;=85,E12&lt;=100),"DP"," "))))</f>
        <v xml:space="preserve"> </v>
      </c>
      <c r="G12" s="135" t="str">
        <f>'2DO TRIMESTRE'!BM13</f>
        <v/>
      </c>
      <c r="H12" s="136" t="str">
        <f t="shared" ref="H12:H60" si="0">IF(AND(G12&gt;=1,G12&lt;=50),"ED",IF(AND(G12&gt;=51,G12&lt;=68),"DA",IF(AND(G12&gt;=69,G12&lt;=84),"DO",IF(AND(G12&gt;=85,G12&lt;=100),"DP"," "))))</f>
        <v xml:space="preserve"> </v>
      </c>
      <c r="I12" s="135" t="str">
        <f>'3ER TRIMESTRE'!BM13</f>
        <v/>
      </c>
      <c r="J12" s="136" t="str">
        <f t="shared" ref="J12:J60" si="1">IF(AND(I12&gt;=1,I12&lt;=50),"ED",IF(AND(I12&gt;=51,I12&lt;=68),"DA",IF(AND(I12&gt;=69,I12&lt;=84),"DO",IF(AND(I12&gt;=85,I12&lt;=100),"DP"," "))))</f>
        <v xml:space="preserve"> </v>
      </c>
      <c r="K12" s="137"/>
      <c r="L12" s="138" t="str">
        <f>IF(OR(E12="",G12="",I12=""),"",ROUND(AVERAGE(E12,G12,I12),0))</f>
        <v/>
      </c>
      <c r="M12" s="590" t="str">
        <f>IF(L12="","",VLOOKUP(L12,$S$80:T$179,2))</f>
        <v/>
      </c>
      <c r="N12" s="591"/>
      <c r="O12" s="139" t="str">
        <f t="shared" ref="O12:O43" si="2">IF(AND(L12&gt;=1,L12&lt;=50),"ED",IF(AND(L12&gt;=51,L12&lt;=68),"DA",IF(AND(L12&gt;=69,L12&lt;=84),"DO",IF(AND(L12&gt;=85,L12&lt;=100),"DP"," "))))</f>
        <v xml:space="preserve"> </v>
      </c>
      <c r="P12" s="301"/>
      <c r="Q12" s="304" t="str">
        <f>IF(L12="","",IF(L12&gt;=51,"PROMOVIDO","REPROBADO"))</f>
        <v/>
      </c>
      <c r="R12" s="441" t="str">
        <f>FILIACIÓN!Y11</f>
        <v/>
      </c>
      <c r="S12" s="26" t="str">
        <f>IF(FILIACIÓN!Z11="MOSTRAR","1","")</f>
        <v/>
      </c>
      <c r="T12" s="43" t="str">
        <f>FILIACIÓN!AL11</f>
        <v/>
      </c>
      <c r="U12" s="43" t="str">
        <f t="shared" ref="U12:U43" si="3">IF(OR(T12="",L12=""),"",IF(L12&gt;51,1,""))</f>
        <v/>
      </c>
      <c r="V12" s="43" t="str">
        <f t="shared" ref="V12:V43" si="4">IF(T12=1,IF(OR(L12="",L12&lt;51),1,""),"")</f>
        <v/>
      </c>
      <c r="W12" s="43">
        <f>IF(OR(T12=1,A12=""),"",1)</f>
        <v>1</v>
      </c>
      <c r="X12" s="43"/>
      <c r="Y12" s="43"/>
      <c r="Z12" s="43">
        <v>1</v>
      </c>
      <c r="AA12" s="43"/>
      <c r="AB12" s="25" t="str">
        <f>IF(OR(L12="",L12=0),"",_xlfn.RANK.EQ(L12,$L$12:$L$61))</f>
        <v/>
      </c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</row>
    <row r="13" spans="1:241" s="1" customFormat="1" ht="23.1" customHeight="1">
      <c r="A13" s="140">
        <f>--SUBTOTAL(2,Z$11:Z13)</f>
        <v>2</v>
      </c>
      <c r="B13" s="587" t="str">
        <f>IF(FILIACIÓN!B12="","",UPPER(FILIACIÓN!B12))</f>
        <v/>
      </c>
      <c r="C13" s="588"/>
      <c r="D13" s="589"/>
      <c r="E13" s="141" t="str">
        <f>'1ER TRIMESTRE'!BM14</f>
        <v/>
      </c>
      <c r="F13" s="142" t="str">
        <f t="shared" ref="F13:F60" si="5">IF(AND(E13&gt;=1,E13&lt;=50),"ED",IF(AND(E13&gt;=51,E13&lt;=68),"DA",IF(AND(E13&gt;=69,E13&lt;=84),"DO",IF(AND(E13&gt;=85,E13&lt;=100),"DP"," "))))</f>
        <v xml:space="preserve"> </v>
      </c>
      <c r="G13" s="143" t="str">
        <f>'2DO TRIMESTRE'!BM14</f>
        <v/>
      </c>
      <c r="H13" s="144" t="str">
        <f t="shared" si="0"/>
        <v xml:space="preserve"> </v>
      </c>
      <c r="I13" s="143" t="str">
        <f>'3ER TRIMESTRE'!BM14</f>
        <v/>
      </c>
      <c r="J13" s="144" t="str">
        <f t="shared" si="1"/>
        <v xml:space="preserve"> </v>
      </c>
      <c r="K13" s="145"/>
      <c r="L13" s="146" t="str">
        <f t="shared" ref="L13:L61" si="6">IF(OR(E13="",G13="",I13=""),"",ROUND(AVERAGE(E13,G13,I13),0))</f>
        <v/>
      </c>
      <c r="M13" s="570" t="str">
        <f>IF(L13="","",VLOOKUP(L13,$S$80:T$179,2))</f>
        <v/>
      </c>
      <c r="N13" s="571"/>
      <c r="O13" s="147" t="str">
        <f t="shared" si="2"/>
        <v xml:space="preserve"> </v>
      </c>
      <c r="P13" s="301"/>
      <c r="Q13" s="305" t="str">
        <f t="shared" ref="Q13:Q61" si="7">IF(L13="","",IF(L13&gt;=51,"PROMOVIDO","REPROBADO"))</f>
        <v/>
      </c>
      <c r="R13" s="441" t="str">
        <f>FILIACIÓN!Y12</f>
        <v/>
      </c>
      <c r="S13" s="26" t="str">
        <f>IF(FILIACIÓN!Z12="MOSTRAR","1","")</f>
        <v/>
      </c>
      <c r="T13" s="43" t="str">
        <f>FILIACIÓN!AL12</f>
        <v/>
      </c>
      <c r="U13" s="43" t="str">
        <f t="shared" si="3"/>
        <v/>
      </c>
      <c r="V13" s="43" t="str">
        <f t="shared" si="4"/>
        <v/>
      </c>
      <c r="W13" s="43">
        <f t="shared" ref="W13:W43" si="8">IF(OR(T13=1,A13=""),"",1)</f>
        <v>1</v>
      </c>
      <c r="X13" s="43"/>
      <c r="Y13" s="43"/>
      <c r="Z13" s="43">
        <v>2</v>
      </c>
      <c r="AA13" s="25"/>
      <c r="AB13" s="25" t="str">
        <f t="shared" ref="AB13:AB61" si="9">IF(OR(L13="",L13=0),"",_xlfn.RANK.EQ(L13,$L$12:$L$61))</f>
        <v/>
      </c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</row>
    <row r="14" spans="1:241" s="1" customFormat="1" ht="23.1" customHeight="1">
      <c r="A14" s="140">
        <f>--SUBTOTAL(2,Z$11:Z14)</f>
        <v>3</v>
      </c>
      <c r="B14" s="587" t="str">
        <f>IF(FILIACIÓN!B13="","",UPPER(FILIACIÓN!B13))</f>
        <v/>
      </c>
      <c r="C14" s="588"/>
      <c r="D14" s="589"/>
      <c r="E14" s="141" t="str">
        <f>'1ER TRIMESTRE'!BM15</f>
        <v/>
      </c>
      <c r="F14" s="142" t="str">
        <f t="shared" si="5"/>
        <v xml:space="preserve"> </v>
      </c>
      <c r="G14" s="143" t="str">
        <f>'2DO TRIMESTRE'!BM15</f>
        <v/>
      </c>
      <c r="H14" s="144" t="str">
        <f t="shared" si="0"/>
        <v xml:space="preserve"> </v>
      </c>
      <c r="I14" s="143" t="str">
        <f>'3ER TRIMESTRE'!BM15</f>
        <v/>
      </c>
      <c r="J14" s="144" t="str">
        <f t="shared" si="1"/>
        <v xml:space="preserve"> </v>
      </c>
      <c r="K14" s="145"/>
      <c r="L14" s="146" t="str">
        <f t="shared" si="6"/>
        <v/>
      </c>
      <c r="M14" s="570" t="str">
        <f>IF(L14="","",VLOOKUP(L14,$S$80:T$179,2))</f>
        <v/>
      </c>
      <c r="N14" s="571"/>
      <c r="O14" s="147" t="str">
        <f t="shared" si="2"/>
        <v xml:space="preserve"> </v>
      </c>
      <c r="P14" s="301"/>
      <c r="Q14" s="305" t="str">
        <f t="shared" si="7"/>
        <v/>
      </c>
      <c r="R14" s="441" t="str">
        <f>FILIACIÓN!Y13</f>
        <v/>
      </c>
      <c r="S14" s="26" t="str">
        <f>IF(FILIACIÓN!Z13="MOSTRAR","1","")</f>
        <v/>
      </c>
      <c r="T14" s="43" t="str">
        <f>FILIACIÓN!AL13</f>
        <v/>
      </c>
      <c r="U14" s="43" t="str">
        <f t="shared" si="3"/>
        <v/>
      </c>
      <c r="V14" s="43" t="str">
        <f t="shared" si="4"/>
        <v/>
      </c>
      <c r="W14" s="43">
        <f t="shared" si="8"/>
        <v>1</v>
      </c>
      <c r="X14" s="43"/>
      <c r="Y14" s="43"/>
      <c r="Z14" s="43">
        <v>3</v>
      </c>
      <c r="AA14" s="25"/>
      <c r="AB14" s="25" t="str">
        <f t="shared" si="9"/>
        <v/>
      </c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</row>
    <row r="15" spans="1:241" s="1" customFormat="1" ht="23.1" customHeight="1">
      <c r="A15" s="140">
        <f>--SUBTOTAL(2,Z$11:Z15)</f>
        <v>4</v>
      </c>
      <c r="B15" s="587" t="str">
        <f>IF(FILIACIÓN!B14="","",UPPER(FILIACIÓN!B14))</f>
        <v/>
      </c>
      <c r="C15" s="588"/>
      <c r="D15" s="589"/>
      <c r="E15" s="141" t="str">
        <f>'1ER TRIMESTRE'!BM16</f>
        <v/>
      </c>
      <c r="F15" s="142" t="str">
        <f t="shared" si="5"/>
        <v xml:space="preserve"> </v>
      </c>
      <c r="G15" s="143" t="str">
        <f>'2DO TRIMESTRE'!BM16</f>
        <v/>
      </c>
      <c r="H15" s="144" t="str">
        <f t="shared" si="0"/>
        <v xml:space="preserve"> </v>
      </c>
      <c r="I15" s="143" t="str">
        <f>'3ER TRIMESTRE'!BM16</f>
        <v/>
      </c>
      <c r="J15" s="144" t="str">
        <f t="shared" si="1"/>
        <v xml:space="preserve"> </v>
      </c>
      <c r="K15" s="145"/>
      <c r="L15" s="146" t="str">
        <f t="shared" si="6"/>
        <v/>
      </c>
      <c r="M15" s="570" t="str">
        <f>IF(L15="","",VLOOKUP(L15,$S$80:T$179,2))</f>
        <v/>
      </c>
      <c r="N15" s="571"/>
      <c r="O15" s="147" t="str">
        <f t="shared" si="2"/>
        <v xml:space="preserve"> </v>
      </c>
      <c r="P15" s="301"/>
      <c r="Q15" s="305" t="str">
        <f t="shared" si="7"/>
        <v/>
      </c>
      <c r="R15" s="441" t="str">
        <f>FILIACIÓN!Y14</f>
        <v/>
      </c>
      <c r="S15" s="26" t="str">
        <f>IF(FILIACIÓN!Z14="MOSTRAR","1","")</f>
        <v/>
      </c>
      <c r="T15" s="43" t="str">
        <f>FILIACIÓN!AL14</f>
        <v/>
      </c>
      <c r="U15" s="43" t="str">
        <f t="shared" si="3"/>
        <v/>
      </c>
      <c r="V15" s="43" t="str">
        <f t="shared" si="4"/>
        <v/>
      </c>
      <c r="W15" s="43">
        <f t="shared" si="8"/>
        <v>1</v>
      </c>
      <c r="X15" s="43"/>
      <c r="Y15" s="43"/>
      <c r="Z15" s="43">
        <v>4</v>
      </c>
      <c r="AA15" s="25"/>
      <c r="AB15" s="25" t="str">
        <f t="shared" si="9"/>
        <v/>
      </c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</row>
    <row r="16" spans="1:241" s="1" customFormat="1" ht="23.1" customHeight="1">
      <c r="A16" s="140">
        <f>--SUBTOTAL(2,Z$11:Z16)</f>
        <v>5</v>
      </c>
      <c r="B16" s="587" t="str">
        <f>IF(FILIACIÓN!B15="","",UPPER(FILIACIÓN!B15))</f>
        <v/>
      </c>
      <c r="C16" s="588"/>
      <c r="D16" s="589"/>
      <c r="E16" s="141" t="str">
        <f>'1ER TRIMESTRE'!BM17</f>
        <v/>
      </c>
      <c r="F16" s="142" t="str">
        <f t="shared" si="5"/>
        <v xml:space="preserve"> </v>
      </c>
      <c r="G16" s="143" t="str">
        <f>'2DO TRIMESTRE'!BM17</f>
        <v/>
      </c>
      <c r="H16" s="144" t="str">
        <f t="shared" si="0"/>
        <v xml:space="preserve"> </v>
      </c>
      <c r="I16" s="143" t="str">
        <f>'3ER TRIMESTRE'!BM17</f>
        <v/>
      </c>
      <c r="J16" s="144" t="str">
        <f t="shared" si="1"/>
        <v xml:space="preserve"> </v>
      </c>
      <c r="K16" s="145"/>
      <c r="L16" s="146" t="str">
        <f t="shared" si="6"/>
        <v/>
      </c>
      <c r="M16" s="570" t="str">
        <f>IF(L16="","",VLOOKUP(L16,$S$80:T$179,2))</f>
        <v/>
      </c>
      <c r="N16" s="571"/>
      <c r="O16" s="147" t="str">
        <f t="shared" si="2"/>
        <v xml:space="preserve"> </v>
      </c>
      <c r="P16" s="301"/>
      <c r="Q16" s="305" t="str">
        <f t="shared" si="7"/>
        <v/>
      </c>
      <c r="R16" s="441" t="str">
        <f>FILIACIÓN!Y15</f>
        <v/>
      </c>
      <c r="S16" s="26" t="str">
        <f>IF(FILIACIÓN!Z15="MOSTRAR","1","")</f>
        <v/>
      </c>
      <c r="T16" s="43" t="str">
        <f>FILIACIÓN!AL15</f>
        <v/>
      </c>
      <c r="U16" s="43" t="str">
        <f t="shared" si="3"/>
        <v/>
      </c>
      <c r="V16" s="43" t="str">
        <f t="shared" si="4"/>
        <v/>
      </c>
      <c r="W16" s="43">
        <f t="shared" si="8"/>
        <v>1</v>
      </c>
      <c r="X16" s="43"/>
      <c r="Y16" s="43"/>
      <c r="Z16" s="43">
        <v>5</v>
      </c>
      <c r="AA16" s="25"/>
      <c r="AB16" s="25" t="str">
        <f t="shared" si="9"/>
        <v/>
      </c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8"/>
      <c r="BU16" s="38"/>
      <c r="BV16" s="38"/>
      <c r="BW16" s="38"/>
      <c r="BX16" s="38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</row>
    <row r="17" spans="1:241" s="1" customFormat="1" ht="23.1" customHeight="1">
      <c r="A17" s="140">
        <f>--SUBTOTAL(2,Z$11:Z17)</f>
        <v>6</v>
      </c>
      <c r="B17" s="587" t="str">
        <f>IF(FILIACIÓN!B16="","",UPPER(FILIACIÓN!B16))</f>
        <v/>
      </c>
      <c r="C17" s="588"/>
      <c r="D17" s="589"/>
      <c r="E17" s="141" t="str">
        <f>'1ER TRIMESTRE'!BM18</f>
        <v/>
      </c>
      <c r="F17" s="142" t="str">
        <f t="shared" si="5"/>
        <v xml:space="preserve"> </v>
      </c>
      <c r="G17" s="143" t="str">
        <f>'2DO TRIMESTRE'!BM18</f>
        <v/>
      </c>
      <c r="H17" s="144" t="str">
        <f t="shared" si="0"/>
        <v xml:space="preserve"> </v>
      </c>
      <c r="I17" s="143" t="str">
        <f>'3ER TRIMESTRE'!BM18</f>
        <v/>
      </c>
      <c r="J17" s="144" t="str">
        <f t="shared" si="1"/>
        <v xml:space="preserve"> </v>
      </c>
      <c r="K17" s="145"/>
      <c r="L17" s="146" t="str">
        <f t="shared" si="6"/>
        <v/>
      </c>
      <c r="M17" s="570" t="str">
        <f>IF(L17="","",VLOOKUP(L17,$S$80:T$179,2))</f>
        <v/>
      </c>
      <c r="N17" s="571"/>
      <c r="O17" s="147" t="str">
        <f t="shared" si="2"/>
        <v xml:space="preserve"> </v>
      </c>
      <c r="P17" s="301"/>
      <c r="Q17" s="305" t="str">
        <f t="shared" si="7"/>
        <v/>
      </c>
      <c r="R17" s="441" t="str">
        <f>FILIACIÓN!Y16</f>
        <v/>
      </c>
      <c r="S17" s="26" t="str">
        <f>IF(FILIACIÓN!Z16="MOSTRAR","1","")</f>
        <v/>
      </c>
      <c r="T17" s="43" t="str">
        <f>FILIACIÓN!AL16</f>
        <v/>
      </c>
      <c r="U17" s="43" t="str">
        <f t="shared" si="3"/>
        <v/>
      </c>
      <c r="V17" s="43" t="str">
        <f t="shared" si="4"/>
        <v/>
      </c>
      <c r="W17" s="43">
        <f t="shared" si="8"/>
        <v>1</v>
      </c>
      <c r="X17" s="43"/>
      <c r="Y17" s="43"/>
      <c r="Z17" s="43">
        <v>6</v>
      </c>
      <c r="AA17" s="25"/>
      <c r="AB17" s="25" t="str">
        <f t="shared" si="9"/>
        <v/>
      </c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38"/>
      <c r="BD17" s="38"/>
      <c r="BE17" s="38"/>
      <c r="BF17" s="38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8"/>
      <c r="BU17" s="38"/>
      <c r="BV17" s="38"/>
      <c r="BW17" s="38"/>
      <c r="BX17" s="38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</row>
    <row r="18" spans="1:241" s="1" customFormat="1" ht="23.1" customHeight="1">
      <c r="A18" s="140">
        <f>--SUBTOTAL(2,Z$11:Z18)</f>
        <v>7</v>
      </c>
      <c r="B18" s="587" t="str">
        <f>IF(FILIACIÓN!B17="","",UPPER(FILIACIÓN!B17))</f>
        <v/>
      </c>
      <c r="C18" s="588"/>
      <c r="D18" s="589"/>
      <c r="E18" s="141" t="str">
        <f>'1ER TRIMESTRE'!BM19</f>
        <v/>
      </c>
      <c r="F18" s="142" t="str">
        <f t="shared" si="5"/>
        <v xml:space="preserve"> </v>
      </c>
      <c r="G18" s="143" t="str">
        <f>'2DO TRIMESTRE'!BM19</f>
        <v/>
      </c>
      <c r="H18" s="144" t="str">
        <f t="shared" si="0"/>
        <v xml:space="preserve"> </v>
      </c>
      <c r="I18" s="143" t="str">
        <f>'3ER TRIMESTRE'!BM19</f>
        <v/>
      </c>
      <c r="J18" s="144" t="str">
        <f t="shared" si="1"/>
        <v xml:space="preserve"> </v>
      </c>
      <c r="K18" s="145"/>
      <c r="L18" s="146" t="str">
        <f t="shared" si="6"/>
        <v/>
      </c>
      <c r="M18" s="570" t="str">
        <f>IF(L18="","",VLOOKUP(L18,$S$80:T$179,2))</f>
        <v/>
      </c>
      <c r="N18" s="571"/>
      <c r="O18" s="147" t="str">
        <f t="shared" si="2"/>
        <v xml:space="preserve"> </v>
      </c>
      <c r="P18" s="301"/>
      <c r="Q18" s="305" t="str">
        <f t="shared" si="7"/>
        <v/>
      </c>
      <c r="R18" s="441" t="str">
        <f>FILIACIÓN!Y17</f>
        <v/>
      </c>
      <c r="S18" s="26" t="str">
        <f>IF(FILIACIÓN!Z17="MOSTRAR","1","")</f>
        <v/>
      </c>
      <c r="T18" s="43" t="str">
        <f>FILIACIÓN!AL17</f>
        <v/>
      </c>
      <c r="U18" s="43" t="str">
        <f t="shared" si="3"/>
        <v/>
      </c>
      <c r="V18" s="43" t="str">
        <f t="shared" si="4"/>
        <v/>
      </c>
      <c r="W18" s="43">
        <f t="shared" si="8"/>
        <v>1</v>
      </c>
      <c r="X18" s="43"/>
      <c r="Y18" s="43"/>
      <c r="Z18" s="43">
        <v>7</v>
      </c>
      <c r="AA18" s="25"/>
      <c r="AB18" s="25" t="str">
        <f t="shared" si="9"/>
        <v/>
      </c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8"/>
      <c r="AZ18" s="38"/>
      <c r="BA18" s="38"/>
      <c r="BB18" s="38"/>
      <c r="BC18" s="38"/>
      <c r="BD18" s="38"/>
      <c r="BE18" s="38"/>
      <c r="BF18" s="38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8"/>
      <c r="BU18" s="38"/>
      <c r="BV18" s="38"/>
      <c r="BW18" s="38"/>
      <c r="BX18" s="38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</row>
    <row r="19" spans="1:241" s="1" customFormat="1" ht="23.1" customHeight="1">
      <c r="A19" s="140">
        <f>--SUBTOTAL(2,Z$11:Z19)</f>
        <v>8</v>
      </c>
      <c r="B19" s="587" t="str">
        <f>IF(FILIACIÓN!B18="","",UPPER(FILIACIÓN!B18))</f>
        <v/>
      </c>
      <c r="C19" s="588"/>
      <c r="D19" s="589"/>
      <c r="E19" s="141" t="str">
        <f>'1ER TRIMESTRE'!BM20</f>
        <v/>
      </c>
      <c r="F19" s="142" t="str">
        <f t="shared" si="5"/>
        <v xml:space="preserve"> </v>
      </c>
      <c r="G19" s="143" t="str">
        <f>'2DO TRIMESTRE'!BM20</f>
        <v/>
      </c>
      <c r="H19" s="144" t="str">
        <f t="shared" si="0"/>
        <v xml:space="preserve"> </v>
      </c>
      <c r="I19" s="143" t="str">
        <f>'3ER TRIMESTRE'!BM20</f>
        <v/>
      </c>
      <c r="J19" s="144" t="str">
        <f t="shared" si="1"/>
        <v xml:space="preserve"> </v>
      </c>
      <c r="K19" s="145"/>
      <c r="L19" s="146" t="str">
        <f t="shared" si="6"/>
        <v/>
      </c>
      <c r="M19" s="570" t="str">
        <f>IF(L19="","",VLOOKUP(L19,$S$80:T$179,2))</f>
        <v/>
      </c>
      <c r="N19" s="571"/>
      <c r="O19" s="147" t="str">
        <f t="shared" si="2"/>
        <v xml:space="preserve"> </v>
      </c>
      <c r="P19" s="301"/>
      <c r="Q19" s="305" t="str">
        <f t="shared" si="7"/>
        <v/>
      </c>
      <c r="R19" s="441" t="str">
        <f>FILIACIÓN!Y18</f>
        <v/>
      </c>
      <c r="S19" s="26" t="str">
        <f>IF(FILIACIÓN!Z18="MOSTRAR","1","")</f>
        <v/>
      </c>
      <c r="T19" s="43" t="str">
        <f>FILIACIÓN!AL18</f>
        <v/>
      </c>
      <c r="U19" s="43" t="str">
        <f t="shared" si="3"/>
        <v/>
      </c>
      <c r="V19" s="43" t="str">
        <f t="shared" si="4"/>
        <v/>
      </c>
      <c r="W19" s="43">
        <f t="shared" si="8"/>
        <v>1</v>
      </c>
      <c r="X19" s="43"/>
      <c r="Y19" s="43"/>
      <c r="Z19" s="43">
        <v>8</v>
      </c>
      <c r="AA19" s="25"/>
      <c r="AB19" s="25" t="str">
        <f t="shared" si="9"/>
        <v/>
      </c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8"/>
      <c r="BU19" s="38"/>
      <c r="BV19" s="38"/>
      <c r="BW19" s="38"/>
      <c r="BX19" s="38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</row>
    <row r="20" spans="1:241" s="1" customFormat="1" ht="23.1" customHeight="1">
      <c r="A20" s="140">
        <f>--SUBTOTAL(2,Z$11:Z20)</f>
        <v>9</v>
      </c>
      <c r="B20" s="587" t="str">
        <f>IF(FILIACIÓN!B19="","",UPPER(FILIACIÓN!B19))</f>
        <v/>
      </c>
      <c r="C20" s="588"/>
      <c r="D20" s="589"/>
      <c r="E20" s="141" t="str">
        <f>'1ER TRIMESTRE'!BM21</f>
        <v/>
      </c>
      <c r="F20" s="142" t="str">
        <f t="shared" si="5"/>
        <v xml:space="preserve"> </v>
      </c>
      <c r="G20" s="143" t="str">
        <f>'2DO TRIMESTRE'!BM21</f>
        <v/>
      </c>
      <c r="H20" s="144" t="str">
        <f t="shared" si="0"/>
        <v xml:space="preserve"> </v>
      </c>
      <c r="I20" s="143" t="str">
        <f>'3ER TRIMESTRE'!BM21</f>
        <v/>
      </c>
      <c r="J20" s="144" t="str">
        <f t="shared" si="1"/>
        <v xml:space="preserve"> </v>
      </c>
      <c r="K20" s="145"/>
      <c r="L20" s="146" t="str">
        <f t="shared" si="6"/>
        <v/>
      </c>
      <c r="M20" s="570" t="str">
        <f>IF(L20="","",VLOOKUP(L20,$S$80:T$179,2))</f>
        <v/>
      </c>
      <c r="N20" s="571"/>
      <c r="O20" s="147" t="str">
        <f t="shared" si="2"/>
        <v xml:space="preserve"> </v>
      </c>
      <c r="P20" s="301"/>
      <c r="Q20" s="305" t="str">
        <f t="shared" si="7"/>
        <v/>
      </c>
      <c r="R20" s="441" t="str">
        <f>FILIACIÓN!Y19</f>
        <v/>
      </c>
      <c r="S20" s="26" t="str">
        <f>IF(FILIACIÓN!Z19="MOSTRAR","1","")</f>
        <v/>
      </c>
      <c r="T20" s="43" t="str">
        <f>FILIACIÓN!AL19</f>
        <v/>
      </c>
      <c r="U20" s="43" t="str">
        <f t="shared" si="3"/>
        <v/>
      </c>
      <c r="V20" s="43" t="str">
        <f t="shared" si="4"/>
        <v/>
      </c>
      <c r="W20" s="43">
        <f t="shared" si="8"/>
        <v>1</v>
      </c>
      <c r="X20" s="43"/>
      <c r="Y20" s="43"/>
      <c r="Z20" s="43">
        <v>9</v>
      </c>
      <c r="AA20" s="25"/>
      <c r="AB20" s="25" t="str">
        <f t="shared" si="9"/>
        <v/>
      </c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</row>
    <row r="21" spans="1:241" s="1" customFormat="1" ht="23.1" customHeight="1">
      <c r="A21" s="140">
        <f>--SUBTOTAL(2,Z$11:Z21)</f>
        <v>10</v>
      </c>
      <c r="B21" s="587" t="str">
        <f>IF(FILIACIÓN!B20="","",UPPER(FILIACIÓN!B20))</f>
        <v/>
      </c>
      <c r="C21" s="588"/>
      <c r="D21" s="589"/>
      <c r="E21" s="141" t="str">
        <f>'1ER TRIMESTRE'!BM22</f>
        <v/>
      </c>
      <c r="F21" s="142" t="str">
        <f t="shared" si="5"/>
        <v xml:space="preserve"> </v>
      </c>
      <c r="G21" s="143" t="str">
        <f>'2DO TRIMESTRE'!BM22</f>
        <v/>
      </c>
      <c r="H21" s="144" t="str">
        <f t="shared" si="0"/>
        <v xml:space="preserve"> </v>
      </c>
      <c r="I21" s="143" t="str">
        <f>'3ER TRIMESTRE'!BM22</f>
        <v/>
      </c>
      <c r="J21" s="144" t="str">
        <f t="shared" si="1"/>
        <v xml:space="preserve"> </v>
      </c>
      <c r="K21" s="145"/>
      <c r="L21" s="146" t="str">
        <f t="shared" si="6"/>
        <v/>
      </c>
      <c r="M21" s="570" t="str">
        <f>IF(L21="","",VLOOKUP(L21,$S$80:T$179,2))</f>
        <v/>
      </c>
      <c r="N21" s="571"/>
      <c r="O21" s="147" t="str">
        <f t="shared" si="2"/>
        <v xml:space="preserve"> </v>
      </c>
      <c r="P21" s="301"/>
      <c r="Q21" s="305" t="str">
        <f t="shared" si="7"/>
        <v/>
      </c>
      <c r="R21" s="441" t="str">
        <f>FILIACIÓN!Y20</f>
        <v/>
      </c>
      <c r="S21" s="26" t="str">
        <f>IF(FILIACIÓN!Z20="MOSTRAR","1","")</f>
        <v/>
      </c>
      <c r="T21" s="43" t="str">
        <f>FILIACIÓN!AL20</f>
        <v/>
      </c>
      <c r="U21" s="43" t="str">
        <f t="shared" si="3"/>
        <v/>
      </c>
      <c r="V21" s="43" t="str">
        <f t="shared" si="4"/>
        <v/>
      </c>
      <c r="W21" s="43">
        <f t="shared" si="8"/>
        <v>1</v>
      </c>
      <c r="X21" s="43"/>
      <c r="Y21" s="43"/>
      <c r="Z21" s="43">
        <v>10</v>
      </c>
      <c r="AA21" s="25"/>
      <c r="AB21" s="25" t="str">
        <f t="shared" si="9"/>
        <v/>
      </c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</row>
    <row r="22" spans="1:241" s="1" customFormat="1" ht="23.1" customHeight="1">
      <c r="A22" s="140">
        <f>--SUBTOTAL(2,Z$11:Z22)</f>
        <v>11</v>
      </c>
      <c r="B22" s="587" t="str">
        <f>IF(FILIACIÓN!B21="","",UPPER(FILIACIÓN!B21))</f>
        <v/>
      </c>
      <c r="C22" s="588"/>
      <c r="D22" s="589"/>
      <c r="E22" s="141" t="str">
        <f>'1ER TRIMESTRE'!BM23</f>
        <v/>
      </c>
      <c r="F22" s="142" t="str">
        <f t="shared" si="5"/>
        <v xml:space="preserve"> </v>
      </c>
      <c r="G22" s="143" t="str">
        <f>'2DO TRIMESTRE'!BM23</f>
        <v/>
      </c>
      <c r="H22" s="144" t="str">
        <f t="shared" si="0"/>
        <v xml:space="preserve"> </v>
      </c>
      <c r="I22" s="143" t="str">
        <f>'3ER TRIMESTRE'!BM23</f>
        <v/>
      </c>
      <c r="J22" s="144" t="str">
        <f t="shared" si="1"/>
        <v xml:space="preserve"> </v>
      </c>
      <c r="K22" s="145"/>
      <c r="L22" s="146" t="str">
        <f t="shared" si="6"/>
        <v/>
      </c>
      <c r="M22" s="570" t="str">
        <f>IF(L22="","",VLOOKUP(L22,$S$80:T$179,2))</f>
        <v/>
      </c>
      <c r="N22" s="571"/>
      <c r="O22" s="147" t="str">
        <f t="shared" si="2"/>
        <v xml:space="preserve"> </v>
      </c>
      <c r="P22" s="301"/>
      <c r="Q22" s="305" t="str">
        <f t="shared" si="7"/>
        <v/>
      </c>
      <c r="R22" s="441" t="str">
        <f>FILIACIÓN!Y21</f>
        <v/>
      </c>
      <c r="S22" s="26" t="str">
        <f>IF(FILIACIÓN!Z21="MOSTRAR","1","")</f>
        <v/>
      </c>
      <c r="T22" s="43" t="str">
        <f>FILIACIÓN!AL21</f>
        <v/>
      </c>
      <c r="U22" s="43" t="str">
        <f t="shared" si="3"/>
        <v/>
      </c>
      <c r="V22" s="43" t="str">
        <f t="shared" si="4"/>
        <v/>
      </c>
      <c r="W22" s="43">
        <f t="shared" si="8"/>
        <v>1</v>
      </c>
      <c r="X22" s="43"/>
      <c r="Y22" s="43"/>
      <c r="Z22" s="43">
        <v>11</v>
      </c>
      <c r="AA22" s="25"/>
      <c r="AB22" s="25" t="str">
        <f t="shared" si="9"/>
        <v/>
      </c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</row>
    <row r="23" spans="1:241" s="1" customFormat="1" ht="23.1" customHeight="1">
      <c r="A23" s="140">
        <f>--SUBTOTAL(2,Z$11:Z23)</f>
        <v>12</v>
      </c>
      <c r="B23" s="587" t="str">
        <f>IF(FILIACIÓN!B22="","",UPPER(FILIACIÓN!B22))</f>
        <v/>
      </c>
      <c r="C23" s="588"/>
      <c r="D23" s="589"/>
      <c r="E23" s="141" t="str">
        <f>'1ER TRIMESTRE'!BM24</f>
        <v/>
      </c>
      <c r="F23" s="142" t="str">
        <f t="shared" si="5"/>
        <v xml:space="preserve"> </v>
      </c>
      <c r="G23" s="143" t="str">
        <f>'2DO TRIMESTRE'!BM24</f>
        <v/>
      </c>
      <c r="H23" s="144" t="str">
        <f t="shared" si="0"/>
        <v xml:space="preserve"> </v>
      </c>
      <c r="I23" s="143" t="str">
        <f>'3ER TRIMESTRE'!BM24</f>
        <v/>
      </c>
      <c r="J23" s="144" t="str">
        <f t="shared" si="1"/>
        <v xml:space="preserve"> </v>
      </c>
      <c r="K23" s="145"/>
      <c r="L23" s="146" t="str">
        <f t="shared" si="6"/>
        <v/>
      </c>
      <c r="M23" s="570" t="str">
        <f>IF(L23="","",VLOOKUP(L23,$S$80:T$179,2))</f>
        <v/>
      </c>
      <c r="N23" s="571"/>
      <c r="O23" s="147" t="str">
        <f t="shared" si="2"/>
        <v xml:space="preserve"> </v>
      </c>
      <c r="P23" s="301"/>
      <c r="Q23" s="305" t="str">
        <f t="shared" si="7"/>
        <v/>
      </c>
      <c r="R23" s="441" t="str">
        <f>FILIACIÓN!Y22</f>
        <v/>
      </c>
      <c r="S23" s="26" t="str">
        <f>IF(FILIACIÓN!Z22="MOSTRAR","1","")</f>
        <v/>
      </c>
      <c r="T23" s="43" t="str">
        <f>FILIACIÓN!AL22</f>
        <v/>
      </c>
      <c r="U23" s="43" t="str">
        <f t="shared" si="3"/>
        <v/>
      </c>
      <c r="V23" s="43" t="str">
        <f t="shared" si="4"/>
        <v/>
      </c>
      <c r="W23" s="43">
        <f t="shared" si="8"/>
        <v>1</v>
      </c>
      <c r="X23" s="43"/>
      <c r="Y23" s="43"/>
      <c r="Z23" s="43">
        <v>12</v>
      </c>
      <c r="AA23" s="25"/>
      <c r="AB23" s="25" t="str">
        <f t="shared" si="9"/>
        <v/>
      </c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</row>
    <row r="24" spans="1:241" s="1" customFormat="1" ht="23.1" customHeight="1">
      <c r="A24" s="140">
        <f>--SUBTOTAL(2,Z$11:Z24)</f>
        <v>13</v>
      </c>
      <c r="B24" s="587" t="str">
        <f>IF(FILIACIÓN!B23="","",UPPER(FILIACIÓN!B23))</f>
        <v/>
      </c>
      <c r="C24" s="588"/>
      <c r="D24" s="589"/>
      <c r="E24" s="141" t="str">
        <f>'1ER TRIMESTRE'!BM25</f>
        <v/>
      </c>
      <c r="F24" s="142" t="str">
        <f t="shared" si="5"/>
        <v xml:space="preserve"> </v>
      </c>
      <c r="G24" s="143" t="str">
        <f>'2DO TRIMESTRE'!BM25</f>
        <v/>
      </c>
      <c r="H24" s="144" t="str">
        <f t="shared" si="0"/>
        <v xml:space="preserve"> </v>
      </c>
      <c r="I24" s="143" t="str">
        <f>'3ER TRIMESTRE'!BM25</f>
        <v/>
      </c>
      <c r="J24" s="144" t="str">
        <f t="shared" si="1"/>
        <v xml:space="preserve"> </v>
      </c>
      <c r="K24" s="145"/>
      <c r="L24" s="146" t="str">
        <f t="shared" si="6"/>
        <v/>
      </c>
      <c r="M24" s="570" t="str">
        <f>IF(L24="","",VLOOKUP(L24,$S$80:T$179,2))</f>
        <v/>
      </c>
      <c r="N24" s="571"/>
      <c r="O24" s="147" t="str">
        <f t="shared" si="2"/>
        <v xml:space="preserve"> </v>
      </c>
      <c r="P24" s="301"/>
      <c r="Q24" s="305" t="str">
        <f t="shared" si="7"/>
        <v/>
      </c>
      <c r="R24" s="441" t="str">
        <f>FILIACIÓN!Y23</f>
        <v/>
      </c>
      <c r="S24" s="26" t="str">
        <f>IF(FILIACIÓN!Z23="MOSTRAR","1","")</f>
        <v/>
      </c>
      <c r="T24" s="43" t="str">
        <f>FILIACIÓN!AL23</f>
        <v/>
      </c>
      <c r="U24" s="43" t="str">
        <f t="shared" si="3"/>
        <v/>
      </c>
      <c r="V24" s="43" t="str">
        <f t="shared" si="4"/>
        <v/>
      </c>
      <c r="W24" s="43">
        <f t="shared" si="8"/>
        <v>1</v>
      </c>
      <c r="X24" s="43"/>
      <c r="Y24" s="43"/>
      <c r="Z24" s="43">
        <v>13</v>
      </c>
      <c r="AA24" s="25"/>
      <c r="AB24" s="25" t="str">
        <f t="shared" si="9"/>
        <v/>
      </c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</row>
    <row r="25" spans="1:241" s="1" customFormat="1" ht="23.1" customHeight="1">
      <c r="A25" s="140">
        <f>--SUBTOTAL(2,Z$11:Z25)</f>
        <v>14</v>
      </c>
      <c r="B25" s="587" t="str">
        <f>IF(FILIACIÓN!B24="","",UPPER(FILIACIÓN!B24))</f>
        <v/>
      </c>
      <c r="C25" s="588"/>
      <c r="D25" s="589"/>
      <c r="E25" s="141" t="str">
        <f>'1ER TRIMESTRE'!BM26</f>
        <v/>
      </c>
      <c r="F25" s="142" t="str">
        <f t="shared" si="5"/>
        <v xml:space="preserve"> </v>
      </c>
      <c r="G25" s="143" t="str">
        <f>'2DO TRIMESTRE'!BM26</f>
        <v/>
      </c>
      <c r="H25" s="144" t="str">
        <f t="shared" si="0"/>
        <v xml:space="preserve"> </v>
      </c>
      <c r="I25" s="143" t="str">
        <f>'3ER TRIMESTRE'!BM26</f>
        <v/>
      </c>
      <c r="J25" s="144" t="str">
        <f t="shared" si="1"/>
        <v xml:space="preserve"> </v>
      </c>
      <c r="K25" s="145"/>
      <c r="L25" s="146" t="str">
        <f t="shared" si="6"/>
        <v/>
      </c>
      <c r="M25" s="570" t="str">
        <f>IF(L25="","",VLOOKUP(L25,$S$80:T$179,2))</f>
        <v/>
      </c>
      <c r="N25" s="571"/>
      <c r="O25" s="147" t="str">
        <f t="shared" si="2"/>
        <v xml:space="preserve"> </v>
      </c>
      <c r="P25" s="301"/>
      <c r="Q25" s="305" t="str">
        <f t="shared" si="7"/>
        <v/>
      </c>
      <c r="R25" s="441" t="str">
        <f>FILIACIÓN!Y24</f>
        <v/>
      </c>
      <c r="S25" s="26" t="str">
        <f>IF(FILIACIÓN!Z24="MOSTRAR","1","")</f>
        <v/>
      </c>
      <c r="T25" s="43" t="str">
        <f>FILIACIÓN!AL24</f>
        <v/>
      </c>
      <c r="U25" s="43" t="str">
        <f t="shared" si="3"/>
        <v/>
      </c>
      <c r="V25" s="43" t="str">
        <f t="shared" si="4"/>
        <v/>
      </c>
      <c r="W25" s="43">
        <f t="shared" si="8"/>
        <v>1</v>
      </c>
      <c r="X25" s="43"/>
      <c r="Y25" s="43"/>
      <c r="Z25" s="43">
        <v>14</v>
      </c>
      <c r="AA25" s="25"/>
      <c r="AB25" s="25" t="str">
        <f t="shared" si="9"/>
        <v/>
      </c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8"/>
      <c r="BU25" s="38"/>
      <c r="BV25" s="38"/>
      <c r="BW25" s="38"/>
      <c r="BX25" s="38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</row>
    <row r="26" spans="1:241" s="1" customFormat="1" ht="23.1" customHeight="1">
      <c r="A26" s="140">
        <f>--SUBTOTAL(2,Z$11:Z26)</f>
        <v>15</v>
      </c>
      <c r="B26" s="587" t="str">
        <f>IF(FILIACIÓN!B25="","",UPPER(FILIACIÓN!B25))</f>
        <v/>
      </c>
      <c r="C26" s="588"/>
      <c r="D26" s="589"/>
      <c r="E26" s="141" t="str">
        <f>'1ER TRIMESTRE'!BM27</f>
        <v/>
      </c>
      <c r="F26" s="142" t="str">
        <f t="shared" si="5"/>
        <v xml:space="preserve"> </v>
      </c>
      <c r="G26" s="143" t="str">
        <f>'2DO TRIMESTRE'!BM27</f>
        <v/>
      </c>
      <c r="H26" s="144" t="str">
        <f t="shared" si="0"/>
        <v xml:space="preserve"> </v>
      </c>
      <c r="I26" s="143" t="str">
        <f>'3ER TRIMESTRE'!BM27</f>
        <v/>
      </c>
      <c r="J26" s="144" t="str">
        <f t="shared" si="1"/>
        <v xml:space="preserve"> </v>
      </c>
      <c r="K26" s="145"/>
      <c r="L26" s="146" t="str">
        <f t="shared" si="6"/>
        <v/>
      </c>
      <c r="M26" s="570" t="str">
        <f>IF(L26="","",VLOOKUP(L26,$S$80:T$179,2))</f>
        <v/>
      </c>
      <c r="N26" s="571"/>
      <c r="O26" s="147" t="str">
        <f t="shared" si="2"/>
        <v xml:space="preserve"> </v>
      </c>
      <c r="P26" s="301"/>
      <c r="Q26" s="305" t="str">
        <f t="shared" si="7"/>
        <v/>
      </c>
      <c r="R26" s="441" t="str">
        <f>FILIACIÓN!Y25</f>
        <v/>
      </c>
      <c r="S26" s="26" t="str">
        <f>IF(FILIACIÓN!Z25="MOSTRAR","1","")</f>
        <v/>
      </c>
      <c r="T26" s="43" t="str">
        <f>FILIACIÓN!AL25</f>
        <v/>
      </c>
      <c r="U26" s="43" t="str">
        <f t="shared" si="3"/>
        <v/>
      </c>
      <c r="V26" s="43" t="str">
        <f t="shared" si="4"/>
        <v/>
      </c>
      <c r="W26" s="43">
        <f t="shared" si="8"/>
        <v>1</v>
      </c>
      <c r="X26" s="43"/>
      <c r="Y26" s="43"/>
      <c r="Z26" s="43">
        <v>15</v>
      </c>
      <c r="AA26" s="25"/>
      <c r="AB26" s="25" t="str">
        <f t="shared" si="9"/>
        <v/>
      </c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8"/>
      <c r="AZ26" s="38"/>
      <c r="BA26" s="38"/>
      <c r="BB26" s="38"/>
      <c r="BC26" s="38"/>
      <c r="BD26" s="38"/>
      <c r="BE26" s="38"/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</row>
    <row r="27" spans="1:241" s="1" customFormat="1" ht="23.1" customHeight="1">
      <c r="A27" s="140">
        <f>--SUBTOTAL(2,Z$11:Z27)</f>
        <v>16</v>
      </c>
      <c r="B27" s="587" t="str">
        <f>IF(FILIACIÓN!B26="","",UPPER(FILIACIÓN!B26))</f>
        <v/>
      </c>
      <c r="C27" s="588"/>
      <c r="D27" s="589"/>
      <c r="E27" s="141" t="str">
        <f>'1ER TRIMESTRE'!BM28</f>
        <v/>
      </c>
      <c r="F27" s="142" t="str">
        <f t="shared" si="5"/>
        <v xml:space="preserve"> </v>
      </c>
      <c r="G27" s="143" t="str">
        <f>'2DO TRIMESTRE'!BM28</f>
        <v/>
      </c>
      <c r="H27" s="144" t="str">
        <f t="shared" si="0"/>
        <v xml:space="preserve"> </v>
      </c>
      <c r="I27" s="143" t="str">
        <f>'3ER TRIMESTRE'!BM28</f>
        <v/>
      </c>
      <c r="J27" s="144" t="str">
        <f t="shared" si="1"/>
        <v xml:space="preserve"> </v>
      </c>
      <c r="K27" s="145"/>
      <c r="L27" s="146" t="str">
        <f t="shared" si="6"/>
        <v/>
      </c>
      <c r="M27" s="570" t="str">
        <f>IF(L27="","",VLOOKUP(L27,$S$80:T$179,2))</f>
        <v/>
      </c>
      <c r="N27" s="571"/>
      <c r="O27" s="147" t="str">
        <f t="shared" si="2"/>
        <v xml:space="preserve"> </v>
      </c>
      <c r="P27" s="301"/>
      <c r="Q27" s="305" t="str">
        <f t="shared" si="7"/>
        <v/>
      </c>
      <c r="R27" s="441" t="str">
        <f>FILIACIÓN!Y26</f>
        <v/>
      </c>
      <c r="S27" s="26" t="str">
        <f>IF(FILIACIÓN!Z26="MOSTRAR","1","")</f>
        <v/>
      </c>
      <c r="T27" s="43" t="str">
        <f>FILIACIÓN!AL26</f>
        <v/>
      </c>
      <c r="U27" s="43" t="str">
        <f t="shared" si="3"/>
        <v/>
      </c>
      <c r="V27" s="43" t="str">
        <f t="shared" si="4"/>
        <v/>
      </c>
      <c r="W27" s="43">
        <f t="shared" si="8"/>
        <v>1</v>
      </c>
      <c r="X27" s="43"/>
      <c r="Y27" s="43"/>
      <c r="Z27" s="43">
        <v>16</v>
      </c>
      <c r="AA27" s="25"/>
      <c r="AB27" s="25" t="str">
        <f t="shared" si="9"/>
        <v/>
      </c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8"/>
      <c r="AZ27" s="38"/>
      <c r="BA27" s="38"/>
      <c r="BB27" s="38"/>
      <c r="BC27" s="38"/>
      <c r="BD27" s="38"/>
      <c r="BE27" s="38"/>
      <c r="BF27" s="38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</row>
    <row r="28" spans="1:241" s="1" customFormat="1" ht="23.1" customHeight="1">
      <c r="A28" s="140">
        <f>--SUBTOTAL(2,Z$11:Z28)</f>
        <v>17</v>
      </c>
      <c r="B28" s="587" t="str">
        <f>IF(FILIACIÓN!B27="","",UPPER(FILIACIÓN!B27))</f>
        <v/>
      </c>
      <c r="C28" s="588"/>
      <c r="D28" s="589"/>
      <c r="E28" s="141" t="str">
        <f>'1ER TRIMESTRE'!BM29</f>
        <v/>
      </c>
      <c r="F28" s="142" t="str">
        <f t="shared" si="5"/>
        <v xml:space="preserve"> </v>
      </c>
      <c r="G28" s="143" t="str">
        <f>'2DO TRIMESTRE'!BM29</f>
        <v/>
      </c>
      <c r="H28" s="144" t="str">
        <f t="shared" si="0"/>
        <v xml:space="preserve"> </v>
      </c>
      <c r="I28" s="143" t="str">
        <f>'3ER TRIMESTRE'!BM29</f>
        <v/>
      </c>
      <c r="J28" s="144" t="str">
        <f t="shared" si="1"/>
        <v xml:space="preserve"> </v>
      </c>
      <c r="K28" s="145"/>
      <c r="L28" s="146" t="str">
        <f t="shared" si="6"/>
        <v/>
      </c>
      <c r="M28" s="570" t="str">
        <f>IF(L28="","",VLOOKUP(L28,$S$80:T$179,2))</f>
        <v/>
      </c>
      <c r="N28" s="571"/>
      <c r="O28" s="147" t="str">
        <f t="shared" si="2"/>
        <v xml:space="preserve"> </v>
      </c>
      <c r="P28" s="301"/>
      <c r="Q28" s="305" t="str">
        <f t="shared" si="7"/>
        <v/>
      </c>
      <c r="R28" s="441" t="str">
        <f>FILIACIÓN!Y27</f>
        <v/>
      </c>
      <c r="S28" s="26" t="str">
        <f>IF(FILIACIÓN!Z27="MOSTRAR","1","")</f>
        <v/>
      </c>
      <c r="T28" s="43" t="str">
        <f>FILIACIÓN!AL27</f>
        <v/>
      </c>
      <c r="U28" s="43" t="str">
        <f t="shared" si="3"/>
        <v/>
      </c>
      <c r="V28" s="43" t="str">
        <f t="shared" si="4"/>
        <v/>
      </c>
      <c r="W28" s="43">
        <f t="shared" si="8"/>
        <v>1</v>
      </c>
      <c r="X28" s="43"/>
      <c r="Y28" s="43"/>
      <c r="Z28" s="43">
        <v>17</v>
      </c>
      <c r="AA28" s="25"/>
      <c r="AB28" s="25" t="str">
        <f t="shared" si="9"/>
        <v/>
      </c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</row>
    <row r="29" spans="1:241" s="1" customFormat="1" ht="23.1" customHeight="1">
      <c r="A29" s="140">
        <f>--SUBTOTAL(2,Z$11:Z29)</f>
        <v>18</v>
      </c>
      <c r="B29" s="587" t="str">
        <f>IF(FILIACIÓN!B28="","",UPPER(FILIACIÓN!B28))</f>
        <v/>
      </c>
      <c r="C29" s="588"/>
      <c r="D29" s="589"/>
      <c r="E29" s="141" t="str">
        <f>'1ER TRIMESTRE'!BM30</f>
        <v/>
      </c>
      <c r="F29" s="142" t="str">
        <f t="shared" si="5"/>
        <v xml:space="preserve"> </v>
      </c>
      <c r="G29" s="143" t="str">
        <f>'2DO TRIMESTRE'!BM30</f>
        <v/>
      </c>
      <c r="H29" s="144" t="str">
        <f t="shared" si="0"/>
        <v xml:space="preserve"> </v>
      </c>
      <c r="I29" s="143" t="str">
        <f>'3ER TRIMESTRE'!BM30</f>
        <v/>
      </c>
      <c r="J29" s="144" t="str">
        <f t="shared" si="1"/>
        <v xml:space="preserve"> </v>
      </c>
      <c r="K29" s="145"/>
      <c r="L29" s="146" t="str">
        <f t="shared" si="6"/>
        <v/>
      </c>
      <c r="M29" s="570" t="str">
        <f>IF(L29="","",VLOOKUP(L29,$S$80:T$179,2))</f>
        <v/>
      </c>
      <c r="N29" s="571"/>
      <c r="O29" s="147" t="str">
        <f t="shared" si="2"/>
        <v xml:space="preserve"> </v>
      </c>
      <c r="P29" s="301"/>
      <c r="Q29" s="305" t="str">
        <f t="shared" si="7"/>
        <v/>
      </c>
      <c r="R29" s="441" t="str">
        <f>FILIACIÓN!Y28</f>
        <v/>
      </c>
      <c r="S29" s="26" t="str">
        <f>IF(FILIACIÓN!Z28="MOSTRAR","1","")</f>
        <v/>
      </c>
      <c r="T29" s="43" t="str">
        <f>FILIACIÓN!AL28</f>
        <v/>
      </c>
      <c r="U29" s="43" t="str">
        <f t="shared" si="3"/>
        <v/>
      </c>
      <c r="V29" s="43" t="str">
        <f t="shared" si="4"/>
        <v/>
      </c>
      <c r="W29" s="43">
        <f t="shared" si="8"/>
        <v>1</v>
      </c>
      <c r="X29" s="43"/>
      <c r="Y29" s="43"/>
      <c r="Z29" s="43">
        <v>18</v>
      </c>
      <c r="AA29" s="25"/>
      <c r="AB29" s="25" t="str">
        <f t="shared" si="9"/>
        <v/>
      </c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8"/>
      <c r="AZ29" s="38"/>
      <c r="BA29" s="38"/>
      <c r="BB29" s="38"/>
      <c r="BC29" s="38"/>
      <c r="BD29" s="38"/>
      <c r="BE29" s="38"/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</row>
    <row r="30" spans="1:241" s="1" customFormat="1" ht="23.1" customHeight="1">
      <c r="A30" s="140">
        <f>--SUBTOTAL(2,Z$11:Z30)</f>
        <v>19</v>
      </c>
      <c r="B30" s="587" t="str">
        <f>IF(FILIACIÓN!B29="","",UPPER(FILIACIÓN!B29))</f>
        <v/>
      </c>
      <c r="C30" s="588"/>
      <c r="D30" s="589"/>
      <c r="E30" s="141" t="str">
        <f>'1ER TRIMESTRE'!BM31</f>
        <v/>
      </c>
      <c r="F30" s="142" t="str">
        <f t="shared" si="5"/>
        <v xml:space="preserve"> </v>
      </c>
      <c r="G30" s="143" t="str">
        <f>'2DO TRIMESTRE'!BM31</f>
        <v/>
      </c>
      <c r="H30" s="144" t="str">
        <f t="shared" si="0"/>
        <v xml:space="preserve"> </v>
      </c>
      <c r="I30" s="143" t="str">
        <f>'3ER TRIMESTRE'!BM31</f>
        <v/>
      </c>
      <c r="J30" s="144" t="str">
        <f t="shared" si="1"/>
        <v xml:space="preserve"> </v>
      </c>
      <c r="K30" s="145"/>
      <c r="L30" s="146" t="str">
        <f t="shared" si="6"/>
        <v/>
      </c>
      <c r="M30" s="570" t="str">
        <f>IF(L30="","",VLOOKUP(L30,$S$80:T$179,2))</f>
        <v/>
      </c>
      <c r="N30" s="571"/>
      <c r="O30" s="147" t="str">
        <f t="shared" si="2"/>
        <v xml:space="preserve"> </v>
      </c>
      <c r="P30" s="301"/>
      <c r="Q30" s="305" t="str">
        <f t="shared" si="7"/>
        <v/>
      </c>
      <c r="R30" s="441" t="str">
        <f>FILIACIÓN!Y29</f>
        <v/>
      </c>
      <c r="S30" s="26" t="str">
        <f>IF(FILIACIÓN!Z29="MOSTRAR","1","")</f>
        <v/>
      </c>
      <c r="T30" s="43" t="str">
        <f>FILIACIÓN!AL29</f>
        <v/>
      </c>
      <c r="U30" s="43" t="str">
        <f t="shared" si="3"/>
        <v/>
      </c>
      <c r="V30" s="43" t="str">
        <f t="shared" si="4"/>
        <v/>
      </c>
      <c r="W30" s="43">
        <f t="shared" si="8"/>
        <v>1</v>
      </c>
      <c r="X30" s="43"/>
      <c r="Y30" s="43"/>
      <c r="Z30" s="43">
        <v>19</v>
      </c>
      <c r="AA30" s="25"/>
      <c r="AB30" s="25" t="str">
        <f t="shared" si="9"/>
        <v/>
      </c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38"/>
      <c r="BD30" s="38"/>
      <c r="BE30" s="38"/>
      <c r="BF30" s="38"/>
      <c r="BG30" s="38"/>
      <c r="BH30" s="38"/>
      <c r="BI30" s="38"/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</row>
    <row r="31" spans="1:241" s="1" customFormat="1" ht="23.1" customHeight="1">
      <c r="A31" s="140">
        <f>--SUBTOTAL(2,Z$11:Z31)</f>
        <v>20</v>
      </c>
      <c r="B31" s="587" t="str">
        <f>IF(FILIACIÓN!B30="","",UPPER(FILIACIÓN!B30))</f>
        <v/>
      </c>
      <c r="C31" s="588"/>
      <c r="D31" s="589"/>
      <c r="E31" s="141" t="str">
        <f>'1ER TRIMESTRE'!BM32</f>
        <v/>
      </c>
      <c r="F31" s="142" t="str">
        <f t="shared" si="5"/>
        <v xml:space="preserve"> </v>
      </c>
      <c r="G31" s="143" t="str">
        <f>'2DO TRIMESTRE'!BM32</f>
        <v/>
      </c>
      <c r="H31" s="144" t="str">
        <f t="shared" si="0"/>
        <v xml:space="preserve"> </v>
      </c>
      <c r="I31" s="143" t="str">
        <f>'3ER TRIMESTRE'!BM32</f>
        <v/>
      </c>
      <c r="J31" s="144" t="str">
        <f t="shared" si="1"/>
        <v xml:space="preserve"> </v>
      </c>
      <c r="K31" s="145"/>
      <c r="L31" s="146" t="str">
        <f t="shared" si="6"/>
        <v/>
      </c>
      <c r="M31" s="570" t="str">
        <f>IF(L31="","",VLOOKUP(L31,$S$80:T$179,2))</f>
        <v/>
      </c>
      <c r="N31" s="571"/>
      <c r="O31" s="147" t="str">
        <f t="shared" si="2"/>
        <v xml:space="preserve"> </v>
      </c>
      <c r="P31" s="301"/>
      <c r="Q31" s="305" t="str">
        <f t="shared" si="7"/>
        <v/>
      </c>
      <c r="R31" s="441" t="str">
        <f>FILIACIÓN!Y30</f>
        <v/>
      </c>
      <c r="S31" s="26" t="str">
        <f>IF(FILIACIÓN!Z30="MOSTRAR","1","")</f>
        <v/>
      </c>
      <c r="T31" s="43" t="str">
        <f>FILIACIÓN!AL30</f>
        <v/>
      </c>
      <c r="U31" s="43" t="str">
        <f t="shared" si="3"/>
        <v/>
      </c>
      <c r="V31" s="43" t="str">
        <f t="shared" si="4"/>
        <v/>
      </c>
      <c r="W31" s="43">
        <f t="shared" si="8"/>
        <v>1</v>
      </c>
      <c r="X31" s="43"/>
      <c r="Y31" s="43"/>
      <c r="Z31" s="43">
        <v>20</v>
      </c>
      <c r="AA31" s="25"/>
      <c r="AB31" s="25" t="str">
        <f t="shared" si="9"/>
        <v/>
      </c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38"/>
      <c r="AW31" s="38"/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</row>
    <row r="32" spans="1:241" s="1" customFormat="1" ht="23.1" customHeight="1">
      <c r="A32" s="140">
        <f>--SUBTOTAL(2,Z$11:Z32)</f>
        <v>21</v>
      </c>
      <c r="B32" s="587" t="str">
        <f>IF(FILIACIÓN!B31="","",UPPER(FILIACIÓN!B31))</f>
        <v/>
      </c>
      <c r="C32" s="588"/>
      <c r="D32" s="589"/>
      <c r="E32" s="141" t="str">
        <f>'1ER TRIMESTRE'!BM33</f>
        <v/>
      </c>
      <c r="F32" s="142" t="str">
        <f t="shared" si="5"/>
        <v xml:space="preserve"> </v>
      </c>
      <c r="G32" s="143" t="str">
        <f>'2DO TRIMESTRE'!BM33</f>
        <v/>
      </c>
      <c r="H32" s="144" t="str">
        <f t="shared" si="0"/>
        <v xml:space="preserve"> </v>
      </c>
      <c r="I32" s="143" t="str">
        <f>'3ER TRIMESTRE'!BM33</f>
        <v/>
      </c>
      <c r="J32" s="144" t="str">
        <f t="shared" si="1"/>
        <v xml:space="preserve"> </v>
      </c>
      <c r="K32" s="145"/>
      <c r="L32" s="146" t="str">
        <f t="shared" si="6"/>
        <v/>
      </c>
      <c r="M32" s="570" t="str">
        <f>IF(L32="","",VLOOKUP(L32,$S$80:T$179,2))</f>
        <v/>
      </c>
      <c r="N32" s="571"/>
      <c r="O32" s="147" t="str">
        <f t="shared" si="2"/>
        <v xml:space="preserve"> </v>
      </c>
      <c r="P32" s="301"/>
      <c r="Q32" s="305" t="str">
        <f t="shared" si="7"/>
        <v/>
      </c>
      <c r="R32" s="441" t="str">
        <f>FILIACIÓN!Y31</f>
        <v/>
      </c>
      <c r="S32" s="26" t="str">
        <f>IF(FILIACIÓN!Z31="MOSTRAR","1","")</f>
        <v/>
      </c>
      <c r="T32" s="43" t="str">
        <f>FILIACIÓN!AL31</f>
        <v/>
      </c>
      <c r="U32" s="43" t="str">
        <f t="shared" si="3"/>
        <v/>
      </c>
      <c r="V32" s="43" t="str">
        <f t="shared" si="4"/>
        <v/>
      </c>
      <c r="W32" s="43">
        <f t="shared" si="8"/>
        <v>1</v>
      </c>
      <c r="X32" s="43"/>
      <c r="Y32" s="43"/>
      <c r="Z32" s="43">
        <v>21</v>
      </c>
      <c r="AA32" s="25"/>
      <c r="AB32" s="25" t="str">
        <f t="shared" si="9"/>
        <v/>
      </c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  <c r="AQ32" s="38"/>
      <c r="AR32" s="38"/>
      <c r="AS32" s="38"/>
      <c r="AT32" s="38"/>
      <c r="AU32" s="38"/>
      <c r="AV32" s="38"/>
      <c r="AW32" s="38"/>
      <c r="AX32" s="38"/>
      <c r="AY32" s="38"/>
      <c r="AZ32" s="38"/>
      <c r="BA32" s="38"/>
      <c r="BB32" s="38"/>
      <c r="BC32" s="38"/>
      <c r="BD32" s="38"/>
      <c r="BE32" s="38"/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</row>
    <row r="33" spans="1:241" s="1" customFormat="1" ht="23.1" customHeight="1">
      <c r="A33" s="140">
        <f>--SUBTOTAL(2,Z$11:Z33)</f>
        <v>22</v>
      </c>
      <c r="B33" s="587" t="str">
        <f>IF(FILIACIÓN!B32="","",UPPER(FILIACIÓN!B32))</f>
        <v/>
      </c>
      <c r="C33" s="588"/>
      <c r="D33" s="589"/>
      <c r="E33" s="141" t="str">
        <f>'1ER TRIMESTRE'!BM34</f>
        <v/>
      </c>
      <c r="F33" s="142" t="str">
        <f t="shared" si="5"/>
        <v xml:space="preserve"> </v>
      </c>
      <c r="G33" s="143" t="str">
        <f>'2DO TRIMESTRE'!BM34</f>
        <v/>
      </c>
      <c r="H33" s="144" t="str">
        <f t="shared" si="0"/>
        <v xml:space="preserve"> </v>
      </c>
      <c r="I33" s="143" t="str">
        <f>'3ER TRIMESTRE'!BM34</f>
        <v/>
      </c>
      <c r="J33" s="144" t="str">
        <f t="shared" si="1"/>
        <v xml:space="preserve"> </v>
      </c>
      <c r="K33" s="145"/>
      <c r="L33" s="146" t="str">
        <f t="shared" si="6"/>
        <v/>
      </c>
      <c r="M33" s="570" t="str">
        <f>IF(L33="","",VLOOKUP(L33,$S$80:T$179,2))</f>
        <v/>
      </c>
      <c r="N33" s="571"/>
      <c r="O33" s="147" t="str">
        <f t="shared" si="2"/>
        <v xml:space="preserve"> </v>
      </c>
      <c r="P33" s="301"/>
      <c r="Q33" s="305" t="str">
        <f t="shared" si="7"/>
        <v/>
      </c>
      <c r="R33" s="441" t="str">
        <f>FILIACIÓN!Y32</f>
        <v/>
      </c>
      <c r="S33" s="26" t="str">
        <f>IF(FILIACIÓN!Z32="MOSTRAR","1","")</f>
        <v/>
      </c>
      <c r="T33" s="43" t="str">
        <f>FILIACIÓN!AL32</f>
        <v/>
      </c>
      <c r="U33" s="43" t="str">
        <f t="shared" si="3"/>
        <v/>
      </c>
      <c r="V33" s="43" t="str">
        <f t="shared" si="4"/>
        <v/>
      </c>
      <c r="W33" s="43">
        <f t="shared" si="8"/>
        <v>1</v>
      </c>
      <c r="X33" s="43"/>
      <c r="Y33" s="43"/>
      <c r="Z33" s="43">
        <v>22</v>
      </c>
      <c r="AA33" s="25"/>
      <c r="AB33" s="25" t="str">
        <f t="shared" si="9"/>
        <v/>
      </c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  <c r="AQ33" s="38"/>
      <c r="AR33" s="38"/>
      <c r="AS33" s="38"/>
      <c r="AT33" s="38"/>
      <c r="AU33" s="38"/>
      <c r="AV33" s="38"/>
      <c r="AW33" s="38"/>
      <c r="AX33" s="38"/>
      <c r="AY33" s="38"/>
      <c r="AZ33" s="38"/>
      <c r="BA33" s="38"/>
      <c r="BB33" s="38"/>
      <c r="BC33" s="38"/>
      <c r="BD33" s="38"/>
      <c r="BE33" s="38"/>
      <c r="BF33" s="38"/>
      <c r="BG33" s="38"/>
      <c r="BH33" s="38"/>
      <c r="BI33" s="38"/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</row>
    <row r="34" spans="1:241" s="1" customFormat="1" ht="23.1" customHeight="1">
      <c r="A34" s="140">
        <f>--SUBTOTAL(2,Z$11:Z34)</f>
        <v>23</v>
      </c>
      <c r="B34" s="587" t="str">
        <f>IF(FILIACIÓN!B33="","",UPPER(FILIACIÓN!B33))</f>
        <v/>
      </c>
      <c r="C34" s="588"/>
      <c r="D34" s="589"/>
      <c r="E34" s="141" t="str">
        <f>'1ER TRIMESTRE'!BM35</f>
        <v/>
      </c>
      <c r="F34" s="142" t="str">
        <f t="shared" si="5"/>
        <v xml:space="preserve"> </v>
      </c>
      <c r="G34" s="143" t="str">
        <f>'2DO TRIMESTRE'!BM35</f>
        <v/>
      </c>
      <c r="H34" s="144" t="str">
        <f t="shared" si="0"/>
        <v xml:space="preserve"> </v>
      </c>
      <c r="I34" s="143" t="str">
        <f>'3ER TRIMESTRE'!BM35</f>
        <v/>
      </c>
      <c r="J34" s="144" t="str">
        <f t="shared" si="1"/>
        <v xml:space="preserve"> </v>
      </c>
      <c r="K34" s="145"/>
      <c r="L34" s="146" t="str">
        <f t="shared" si="6"/>
        <v/>
      </c>
      <c r="M34" s="570" t="str">
        <f>IF(L34="","",VLOOKUP(L34,$S$80:T$179,2))</f>
        <v/>
      </c>
      <c r="N34" s="571"/>
      <c r="O34" s="147" t="str">
        <f t="shared" si="2"/>
        <v xml:space="preserve"> </v>
      </c>
      <c r="P34" s="301"/>
      <c r="Q34" s="305" t="str">
        <f t="shared" si="7"/>
        <v/>
      </c>
      <c r="R34" s="441" t="str">
        <f>FILIACIÓN!Y33</f>
        <v/>
      </c>
      <c r="S34" s="26" t="str">
        <f>IF(FILIACIÓN!Z33="MOSTRAR","1","")</f>
        <v/>
      </c>
      <c r="T34" s="43" t="str">
        <f>FILIACIÓN!AL33</f>
        <v/>
      </c>
      <c r="U34" s="43" t="str">
        <f t="shared" si="3"/>
        <v/>
      </c>
      <c r="V34" s="43" t="str">
        <f t="shared" si="4"/>
        <v/>
      </c>
      <c r="W34" s="43">
        <f t="shared" si="8"/>
        <v>1</v>
      </c>
      <c r="X34" s="43"/>
      <c r="Y34" s="43"/>
      <c r="Z34" s="43">
        <v>23</v>
      </c>
      <c r="AA34" s="25"/>
      <c r="AB34" s="25" t="str">
        <f t="shared" si="9"/>
        <v/>
      </c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</row>
    <row r="35" spans="1:241" s="1" customFormat="1" ht="23.1" customHeight="1">
      <c r="A35" s="140">
        <f>--SUBTOTAL(2,Z$11:Z35)</f>
        <v>24</v>
      </c>
      <c r="B35" s="587" t="str">
        <f>IF(FILIACIÓN!B34="","",UPPER(FILIACIÓN!B34))</f>
        <v/>
      </c>
      <c r="C35" s="588"/>
      <c r="D35" s="589"/>
      <c r="E35" s="141" t="str">
        <f>'1ER TRIMESTRE'!BM36</f>
        <v/>
      </c>
      <c r="F35" s="142" t="str">
        <f t="shared" si="5"/>
        <v xml:space="preserve"> </v>
      </c>
      <c r="G35" s="143" t="str">
        <f>'2DO TRIMESTRE'!BM36</f>
        <v/>
      </c>
      <c r="H35" s="144" t="str">
        <f t="shared" si="0"/>
        <v xml:space="preserve"> </v>
      </c>
      <c r="I35" s="143" t="str">
        <f>'3ER TRIMESTRE'!BM36</f>
        <v/>
      </c>
      <c r="J35" s="144" t="str">
        <f t="shared" si="1"/>
        <v xml:space="preserve"> </v>
      </c>
      <c r="K35" s="145"/>
      <c r="L35" s="146" t="str">
        <f t="shared" si="6"/>
        <v/>
      </c>
      <c r="M35" s="570" t="str">
        <f>IF(L35="","",VLOOKUP(L35,$S$80:T$179,2))</f>
        <v/>
      </c>
      <c r="N35" s="571"/>
      <c r="O35" s="147" t="str">
        <f t="shared" si="2"/>
        <v xml:space="preserve"> </v>
      </c>
      <c r="P35" s="301"/>
      <c r="Q35" s="305" t="str">
        <f t="shared" si="7"/>
        <v/>
      </c>
      <c r="R35" s="441" t="str">
        <f>FILIACIÓN!Y34</f>
        <v/>
      </c>
      <c r="S35" s="26" t="str">
        <f>IF(FILIACIÓN!Z34="MOSTRAR","1","")</f>
        <v/>
      </c>
      <c r="T35" s="43" t="str">
        <f>FILIACIÓN!AL34</f>
        <v/>
      </c>
      <c r="U35" s="43" t="str">
        <f t="shared" si="3"/>
        <v/>
      </c>
      <c r="V35" s="43" t="str">
        <f t="shared" si="4"/>
        <v/>
      </c>
      <c r="W35" s="43">
        <f t="shared" si="8"/>
        <v>1</v>
      </c>
      <c r="X35" s="43"/>
      <c r="Y35" s="43"/>
      <c r="Z35" s="43">
        <v>24</v>
      </c>
      <c r="AA35" s="25"/>
      <c r="AB35" s="25" t="str">
        <f t="shared" si="9"/>
        <v/>
      </c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</row>
    <row r="36" spans="1:241" s="1" customFormat="1" ht="23.1" customHeight="1">
      <c r="A36" s="140">
        <f>--SUBTOTAL(2,Z$11:Z36)</f>
        <v>25</v>
      </c>
      <c r="B36" s="587" t="str">
        <f>IF(FILIACIÓN!B35="","",UPPER(FILIACIÓN!B35))</f>
        <v/>
      </c>
      <c r="C36" s="588"/>
      <c r="D36" s="589"/>
      <c r="E36" s="141" t="str">
        <f>'1ER TRIMESTRE'!BM37</f>
        <v/>
      </c>
      <c r="F36" s="142" t="str">
        <f t="shared" si="5"/>
        <v xml:space="preserve"> </v>
      </c>
      <c r="G36" s="143" t="str">
        <f>'2DO TRIMESTRE'!BM37</f>
        <v/>
      </c>
      <c r="H36" s="144" t="str">
        <f t="shared" si="0"/>
        <v xml:space="preserve"> </v>
      </c>
      <c r="I36" s="143" t="str">
        <f>'3ER TRIMESTRE'!BM37</f>
        <v/>
      </c>
      <c r="J36" s="144" t="str">
        <f t="shared" si="1"/>
        <v xml:space="preserve"> </v>
      </c>
      <c r="K36" s="145"/>
      <c r="L36" s="146" t="str">
        <f t="shared" si="6"/>
        <v/>
      </c>
      <c r="M36" s="570" t="str">
        <f>IF(L36="","",VLOOKUP(L36,$S$80:T$179,2))</f>
        <v/>
      </c>
      <c r="N36" s="571"/>
      <c r="O36" s="147" t="str">
        <f t="shared" si="2"/>
        <v xml:space="preserve"> </v>
      </c>
      <c r="P36" s="301"/>
      <c r="Q36" s="305" t="str">
        <f t="shared" si="7"/>
        <v/>
      </c>
      <c r="R36" s="441" t="str">
        <f>FILIACIÓN!Y35</f>
        <v/>
      </c>
      <c r="S36" s="26" t="str">
        <f>IF(FILIACIÓN!Z35="MOSTRAR","1","")</f>
        <v/>
      </c>
      <c r="T36" s="43" t="str">
        <f>FILIACIÓN!AL35</f>
        <v/>
      </c>
      <c r="U36" s="43" t="str">
        <f t="shared" si="3"/>
        <v/>
      </c>
      <c r="V36" s="43" t="str">
        <f t="shared" si="4"/>
        <v/>
      </c>
      <c r="W36" s="43">
        <f t="shared" si="8"/>
        <v>1</v>
      </c>
      <c r="X36" s="43"/>
      <c r="Y36" s="43"/>
      <c r="Z36" s="43">
        <v>25</v>
      </c>
      <c r="AA36" s="25"/>
      <c r="AB36" s="25" t="str">
        <f t="shared" si="9"/>
        <v/>
      </c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</row>
    <row r="37" spans="1:241" s="1" customFormat="1" ht="23.1" customHeight="1">
      <c r="A37" s="140">
        <f>--SUBTOTAL(2,Z$11:Z37)</f>
        <v>26</v>
      </c>
      <c r="B37" s="587" t="str">
        <f>IF(FILIACIÓN!B36="","",UPPER(FILIACIÓN!B36))</f>
        <v/>
      </c>
      <c r="C37" s="588"/>
      <c r="D37" s="589"/>
      <c r="E37" s="141" t="str">
        <f>'1ER TRIMESTRE'!BM38</f>
        <v/>
      </c>
      <c r="F37" s="142" t="str">
        <f t="shared" si="5"/>
        <v xml:space="preserve"> </v>
      </c>
      <c r="G37" s="143" t="str">
        <f>'2DO TRIMESTRE'!BM38</f>
        <v/>
      </c>
      <c r="H37" s="144" t="str">
        <f t="shared" si="0"/>
        <v xml:space="preserve"> </v>
      </c>
      <c r="I37" s="143" t="str">
        <f>'3ER TRIMESTRE'!BM38</f>
        <v/>
      </c>
      <c r="J37" s="144" t="str">
        <f t="shared" si="1"/>
        <v xml:space="preserve"> </v>
      </c>
      <c r="K37" s="145"/>
      <c r="L37" s="146" t="str">
        <f t="shared" si="6"/>
        <v/>
      </c>
      <c r="M37" s="570" t="str">
        <f>IF(L37="","",VLOOKUP(L37,$S$80:T$179,2))</f>
        <v/>
      </c>
      <c r="N37" s="571"/>
      <c r="O37" s="147" t="str">
        <f t="shared" si="2"/>
        <v xml:space="preserve"> </v>
      </c>
      <c r="P37" s="301"/>
      <c r="Q37" s="305" t="str">
        <f t="shared" si="7"/>
        <v/>
      </c>
      <c r="R37" s="441" t="str">
        <f>FILIACIÓN!Y36</f>
        <v/>
      </c>
      <c r="S37" s="26" t="str">
        <f>IF(FILIACIÓN!Z36="MOSTRAR","1","")</f>
        <v/>
      </c>
      <c r="T37" s="43" t="str">
        <f>FILIACIÓN!AL36</f>
        <v/>
      </c>
      <c r="U37" s="43" t="str">
        <f t="shared" si="3"/>
        <v/>
      </c>
      <c r="V37" s="43" t="str">
        <f t="shared" si="4"/>
        <v/>
      </c>
      <c r="W37" s="43">
        <f t="shared" si="8"/>
        <v>1</v>
      </c>
      <c r="X37" s="43"/>
      <c r="Y37" s="43"/>
      <c r="Z37" s="43">
        <v>26</v>
      </c>
      <c r="AA37" s="25"/>
      <c r="AB37" s="25" t="str">
        <f t="shared" si="9"/>
        <v/>
      </c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</row>
    <row r="38" spans="1:241" s="1" customFormat="1" ht="23.1" customHeight="1">
      <c r="A38" s="140">
        <f>--SUBTOTAL(2,Z$11:Z38)</f>
        <v>27</v>
      </c>
      <c r="B38" s="587" t="str">
        <f>IF(FILIACIÓN!B37="","",UPPER(FILIACIÓN!B37))</f>
        <v/>
      </c>
      <c r="C38" s="588"/>
      <c r="D38" s="589"/>
      <c r="E38" s="141" t="str">
        <f>'1ER TRIMESTRE'!BM39</f>
        <v/>
      </c>
      <c r="F38" s="142" t="str">
        <f t="shared" si="5"/>
        <v xml:space="preserve"> </v>
      </c>
      <c r="G38" s="143" t="str">
        <f>'2DO TRIMESTRE'!BM39</f>
        <v/>
      </c>
      <c r="H38" s="144" t="str">
        <f t="shared" si="0"/>
        <v xml:space="preserve"> </v>
      </c>
      <c r="I38" s="143" t="str">
        <f>'3ER TRIMESTRE'!BM39</f>
        <v/>
      </c>
      <c r="J38" s="144" t="str">
        <f t="shared" si="1"/>
        <v xml:space="preserve"> </v>
      </c>
      <c r="K38" s="145"/>
      <c r="L38" s="146" t="str">
        <f t="shared" si="6"/>
        <v/>
      </c>
      <c r="M38" s="570" t="str">
        <f>IF(L38="","",VLOOKUP(L38,$S$80:T$179,2))</f>
        <v/>
      </c>
      <c r="N38" s="571"/>
      <c r="O38" s="147" t="str">
        <f t="shared" si="2"/>
        <v xml:space="preserve"> </v>
      </c>
      <c r="P38" s="301"/>
      <c r="Q38" s="305" t="str">
        <f t="shared" si="7"/>
        <v/>
      </c>
      <c r="R38" s="441" t="str">
        <f>FILIACIÓN!Y37</f>
        <v/>
      </c>
      <c r="S38" s="26" t="str">
        <f>IF(FILIACIÓN!Z37="MOSTRAR","1","")</f>
        <v/>
      </c>
      <c r="T38" s="43" t="str">
        <f>FILIACIÓN!AL37</f>
        <v/>
      </c>
      <c r="U38" s="43" t="str">
        <f t="shared" si="3"/>
        <v/>
      </c>
      <c r="V38" s="43" t="str">
        <f t="shared" si="4"/>
        <v/>
      </c>
      <c r="W38" s="43">
        <f t="shared" si="8"/>
        <v>1</v>
      </c>
      <c r="X38" s="43"/>
      <c r="Y38" s="43"/>
      <c r="Z38" s="43">
        <v>27</v>
      </c>
      <c r="AA38" s="25"/>
      <c r="AB38" s="25" t="str">
        <f t="shared" si="9"/>
        <v/>
      </c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</row>
    <row r="39" spans="1:241" s="1" customFormat="1" ht="23.1" customHeight="1">
      <c r="A39" s="140">
        <f>--SUBTOTAL(2,Z$11:Z39)</f>
        <v>28</v>
      </c>
      <c r="B39" s="587" t="str">
        <f>IF(FILIACIÓN!B38="","",UPPER(FILIACIÓN!B38))</f>
        <v/>
      </c>
      <c r="C39" s="588"/>
      <c r="D39" s="589"/>
      <c r="E39" s="141" t="str">
        <f>'1ER TRIMESTRE'!BM40</f>
        <v/>
      </c>
      <c r="F39" s="142" t="str">
        <f t="shared" si="5"/>
        <v xml:space="preserve"> </v>
      </c>
      <c r="G39" s="143" t="str">
        <f>'2DO TRIMESTRE'!BM40</f>
        <v/>
      </c>
      <c r="H39" s="144" t="str">
        <f t="shared" si="0"/>
        <v xml:space="preserve"> </v>
      </c>
      <c r="I39" s="143" t="str">
        <f>'3ER TRIMESTRE'!BM40</f>
        <v/>
      </c>
      <c r="J39" s="144" t="str">
        <f t="shared" si="1"/>
        <v xml:space="preserve"> </v>
      </c>
      <c r="K39" s="145"/>
      <c r="L39" s="146" t="str">
        <f t="shared" si="6"/>
        <v/>
      </c>
      <c r="M39" s="570" t="str">
        <f>IF(L39="","",VLOOKUP(L39,$S$80:T$179,2))</f>
        <v/>
      </c>
      <c r="N39" s="571"/>
      <c r="O39" s="147" t="str">
        <f t="shared" si="2"/>
        <v xml:space="preserve"> </v>
      </c>
      <c r="P39" s="301"/>
      <c r="Q39" s="305" t="str">
        <f t="shared" si="7"/>
        <v/>
      </c>
      <c r="R39" s="441" t="str">
        <f>FILIACIÓN!Y38</f>
        <v/>
      </c>
      <c r="S39" s="26" t="str">
        <f>IF(FILIACIÓN!Z38="MOSTRAR","1","")</f>
        <v/>
      </c>
      <c r="T39" s="43" t="str">
        <f>FILIACIÓN!AL38</f>
        <v/>
      </c>
      <c r="U39" s="43" t="str">
        <f t="shared" si="3"/>
        <v/>
      </c>
      <c r="V39" s="43" t="str">
        <f t="shared" si="4"/>
        <v/>
      </c>
      <c r="W39" s="43">
        <f t="shared" si="8"/>
        <v>1</v>
      </c>
      <c r="X39" s="43"/>
      <c r="Y39" s="43"/>
      <c r="Z39" s="43">
        <v>28</v>
      </c>
      <c r="AA39" s="25"/>
      <c r="AB39" s="25" t="str">
        <f t="shared" si="9"/>
        <v/>
      </c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</row>
    <row r="40" spans="1:241" s="1" customFormat="1" ht="23.1" customHeight="1">
      <c r="A40" s="140">
        <f>--SUBTOTAL(2,Z$11:Z40)</f>
        <v>29</v>
      </c>
      <c r="B40" s="587" t="str">
        <f>IF(FILIACIÓN!B39="","",UPPER(FILIACIÓN!B39))</f>
        <v/>
      </c>
      <c r="C40" s="588"/>
      <c r="D40" s="589"/>
      <c r="E40" s="141" t="str">
        <f>'1ER TRIMESTRE'!BM41</f>
        <v/>
      </c>
      <c r="F40" s="142" t="str">
        <f t="shared" si="5"/>
        <v xml:space="preserve"> </v>
      </c>
      <c r="G40" s="143" t="str">
        <f>'2DO TRIMESTRE'!BM41</f>
        <v/>
      </c>
      <c r="H40" s="144" t="str">
        <f t="shared" si="0"/>
        <v xml:space="preserve"> </v>
      </c>
      <c r="I40" s="143" t="str">
        <f>'3ER TRIMESTRE'!BM41</f>
        <v/>
      </c>
      <c r="J40" s="144" t="str">
        <f t="shared" si="1"/>
        <v xml:space="preserve"> </v>
      </c>
      <c r="K40" s="145"/>
      <c r="L40" s="146" t="str">
        <f t="shared" si="6"/>
        <v/>
      </c>
      <c r="M40" s="570" t="str">
        <f>IF(L40="","",VLOOKUP(L40,$S$80:T$179,2))</f>
        <v/>
      </c>
      <c r="N40" s="571"/>
      <c r="O40" s="147" t="str">
        <f t="shared" si="2"/>
        <v xml:space="preserve"> </v>
      </c>
      <c r="P40" s="301"/>
      <c r="Q40" s="305" t="str">
        <f t="shared" si="7"/>
        <v/>
      </c>
      <c r="R40" s="441" t="str">
        <f>FILIACIÓN!Y39</f>
        <v/>
      </c>
      <c r="S40" s="26" t="str">
        <f>IF(FILIACIÓN!Z39="MOSTRAR","1","")</f>
        <v/>
      </c>
      <c r="T40" s="43" t="str">
        <f>FILIACIÓN!AL39</f>
        <v/>
      </c>
      <c r="U40" s="43" t="str">
        <f t="shared" si="3"/>
        <v/>
      </c>
      <c r="V40" s="43" t="str">
        <f t="shared" si="4"/>
        <v/>
      </c>
      <c r="W40" s="43">
        <f t="shared" si="8"/>
        <v>1</v>
      </c>
      <c r="X40" s="43"/>
      <c r="Y40" s="43"/>
      <c r="Z40" s="43">
        <v>29</v>
      </c>
      <c r="AA40" s="25"/>
      <c r="AB40" s="25" t="str">
        <f t="shared" si="9"/>
        <v/>
      </c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</row>
    <row r="41" spans="1:241" s="1" customFormat="1" ht="23.1" customHeight="1">
      <c r="A41" s="140">
        <f>--SUBTOTAL(2,Z$11:Z41)</f>
        <v>30</v>
      </c>
      <c r="B41" s="587" t="str">
        <f>IF(FILIACIÓN!B40="","",UPPER(FILIACIÓN!B40))</f>
        <v/>
      </c>
      <c r="C41" s="588"/>
      <c r="D41" s="589"/>
      <c r="E41" s="141" t="str">
        <f>'1ER TRIMESTRE'!BM42</f>
        <v/>
      </c>
      <c r="F41" s="142" t="str">
        <f t="shared" si="5"/>
        <v xml:space="preserve"> </v>
      </c>
      <c r="G41" s="143" t="str">
        <f>'2DO TRIMESTRE'!BM42</f>
        <v/>
      </c>
      <c r="H41" s="144" t="str">
        <f t="shared" si="0"/>
        <v xml:space="preserve"> </v>
      </c>
      <c r="I41" s="143" t="str">
        <f>'3ER TRIMESTRE'!BM42</f>
        <v/>
      </c>
      <c r="J41" s="144" t="str">
        <f t="shared" si="1"/>
        <v xml:space="preserve"> </v>
      </c>
      <c r="K41" s="145"/>
      <c r="L41" s="146" t="str">
        <f t="shared" si="6"/>
        <v/>
      </c>
      <c r="M41" s="570" t="str">
        <f>IF(L41="","",VLOOKUP(L41,$S$80:T$179,2))</f>
        <v/>
      </c>
      <c r="N41" s="571"/>
      <c r="O41" s="147" t="str">
        <f t="shared" si="2"/>
        <v xml:space="preserve"> </v>
      </c>
      <c r="P41" s="301"/>
      <c r="Q41" s="305" t="str">
        <f t="shared" si="7"/>
        <v/>
      </c>
      <c r="R41" s="441" t="str">
        <f>FILIACIÓN!Y40</f>
        <v/>
      </c>
      <c r="S41" s="26" t="str">
        <f>IF(FILIACIÓN!Z40="MOSTRAR","1","")</f>
        <v/>
      </c>
      <c r="T41" s="43" t="str">
        <f>FILIACIÓN!AL40</f>
        <v/>
      </c>
      <c r="U41" s="43" t="str">
        <f t="shared" si="3"/>
        <v/>
      </c>
      <c r="V41" s="43" t="str">
        <f t="shared" si="4"/>
        <v/>
      </c>
      <c r="W41" s="43">
        <f t="shared" si="8"/>
        <v>1</v>
      </c>
      <c r="X41" s="43"/>
      <c r="Y41" s="43"/>
      <c r="Z41" s="43">
        <v>30</v>
      </c>
      <c r="AA41" s="25"/>
      <c r="AB41" s="25" t="str">
        <f t="shared" si="9"/>
        <v/>
      </c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</row>
    <row r="42" spans="1:241" s="1" customFormat="1" ht="23.1" hidden="1" customHeight="1">
      <c r="A42" s="140">
        <f>--SUBTOTAL(2,Z$11:Z42)</f>
        <v>31</v>
      </c>
      <c r="B42" s="587" t="str">
        <f>IF(FILIACIÓN!B41="","",UPPER(FILIACIÓN!B41))</f>
        <v/>
      </c>
      <c r="C42" s="588"/>
      <c r="D42" s="589"/>
      <c r="E42" s="141" t="str">
        <f>'1ER TRIMESTRE'!BM43</f>
        <v/>
      </c>
      <c r="F42" s="142" t="str">
        <f t="shared" si="5"/>
        <v xml:space="preserve"> </v>
      </c>
      <c r="G42" s="143" t="str">
        <f>'2DO TRIMESTRE'!BM43</f>
        <v/>
      </c>
      <c r="H42" s="144" t="str">
        <f t="shared" si="0"/>
        <v xml:space="preserve"> </v>
      </c>
      <c r="I42" s="143" t="str">
        <f>'3ER TRIMESTRE'!BM43</f>
        <v/>
      </c>
      <c r="J42" s="144" t="str">
        <f t="shared" si="1"/>
        <v xml:space="preserve"> </v>
      </c>
      <c r="K42" s="145"/>
      <c r="L42" s="146" t="str">
        <f t="shared" si="6"/>
        <v/>
      </c>
      <c r="M42" s="570" t="str">
        <f>IF(L42="","",VLOOKUP(L42,$S$80:T$179,2))</f>
        <v/>
      </c>
      <c r="N42" s="571"/>
      <c r="O42" s="147" t="str">
        <f t="shared" si="2"/>
        <v xml:space="preserve"> </v>
      </c>
      <c r="P42" s="301"/>
      <c r="Q42" s="305" t="str">
        <f t="shared" si="7"/>
        <v/>
      </c>
      <c r="R42" s="441" t="str">
        <f>FILIACIÓN!Y41</f>
        <v/>
      </c>
      <c r="S42" s="26" t="str">
        <f>IF(FILIACIÓN!Z41="MOSTRAR","1","")</f>
        <v/>
      </c>
      <c r="T42" s="43" t="str">
        <f>FILIACIÓN!AL41</f>
        <v/>
      </c>
      <c r="U42" s="43" t="str">
        <f t="shared" si="3"/>
        <v/>
      </c>
      <c r="V42" s="43" t="str">
        <f t="shared" si="4"/>
        <v/>
      </c>
      <c r="W42" s="43">
        <f t="shared" si="8"/>
        <v>1</v>
      </c>
      <c r="X42" s="43"/>
      <c r="Y42" s="43"/>
      <c r="Z42" s="43">
        <v>31</v>
      </c>
      <c r="AA42" s="25"/>
      <c r="AB42" s="25" t="str">
        <f t="shared" si="9"/>
        <v/>
      </c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</row>
    <row r="43" spans="1:241" s="1" customFormat="1" ht="23.1" hidden="1" customHeight="1">
      <c r="A43" s="140">
        <f>--SUBTOTAL(2,Z$11:Z43)</f>
        <v>32</v>
      </c>
      <c r="B43" s="587" t="str">
        <f>IF(FILIACIÓN!B42="","",UPPER(FILIACIÓN!B42))</f>
        <v/>
      </c>
      <c r="C43" s="588"/>
      <c r="D43" s="589"/>
      <c r="E43" s="141" t="str">
        <f>'1ER TRIMESTRE'!BM44</f>
        <v/>
      </c>
      <c r="F43" s="142" t="str">
        <f t="shared" si="5"/>
        <v xml:space="preserve"> </v>
      </c>
      <c r="G43" s="143" t="str">
        <f>'2DO TRIMESTRE'!BM44</f>
        <v/>
      </c>
      <c r="H43" s="144" t="str">
        <f t="shared" si="0"/>
        <v xml:space="preserve"> </v>
      </c>
      <c r="I43" s="143" t="str">
        <f>'3ER TRIMESTRE'!BM44</f>
        <v/>
      </c>
      <c r="J43" s="144" t="str">
        <f t="shared" si="1"/>
        <v xml:space="preserve"> </v>
      </c>
      <c r="K43" s="145"/>
      <c r="L43" s="146" t="str">
        <f t="shared" si="6"/>
        <v/>
      </c>
      <c r="M43" s="570" t="str">
        <f>IF(L43="","",VLOOKUP(L43,$S$80:T$179,2))</f>
        <v/>
      </c>
      <c r="N43" s="571"/>
      <c r="O43" s="147" t="str">
        <f t="shared" si="2"/>
        <v xml:space="preserve"> </v>
      </c>
      <c r="P43" s="301"/>
      <c r="Q43" s="305" t="str">
        <f t="shared" si="7"/>
        <v/>
      </c>
      <c r="R43" s="441" t="str">
        <f>FILIACIÓN!Y42</f>
        <v/>
      </c>
      <c r="S43" s="26" t="str">
        <f>IF(FILIACIÓN!Z42="MOSTRAR","1","")</f>
        <v/>
      </c>
      <c r="T43" s="43" t="str">
        <f>FILIACIÓN!AL42</f>
        <v/>
      </c>
      <c r="U43" s="43" t="str">
        <f t="shared" si="3"/>
        <v/>
      </c>
      <c r="V43" s="43" t="str">
        <f t="shared" si="4"/>
        <v/>
      </c>
      <c r="W43" s="43">
        <f t="shared" si="8"/>
        <v>1</v>
      </c>
      <c r="X43" s="43"/>
      <c r="Y43" s="43"/>
      <c r="Z43" s="43">
        <v>32</v>
      </c>
      <c r="AA43" s="25"/>
      <c r="AB43" s="25" t="str">
        <f t="shared" si="9"/>
        <v/>
      </c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</row>
    <row r="44" spans="1:241" s="1" customFormat="1" ht="23.1" hidden="1" customHeight="1">
      <c r="A44" s="140">
        <f>--SUBTOTAL(2,Z$11:Z44)</f>
        <v>33</v>
      </c>
      <c r="B44" s="587" t="str">
        <f>IF(FILIACIÓN!B43="","",UPPER(FILIACIÓN!B43))</f>
        <v/>
      </c>
      <c r="C44" s="588"/>
      <c r="D44" s="589"/>
      <c r="E44" s="141" t="str">
        <f>'1ER TRIMESTRE'!BM45</f>
        <v/>
      </c>
      <c r="F44" s="142" t="str">
        <f t="shared" si="5"/>
        <v xml:space="preserve"> </v>
      </c>
      <c r="G44" s="143" t="str">
        <f>'2DO TRIMESTRE'!BM45</f>
        <v/>
      </c>
      <c r="H44" s="144" t="str">
        <f t="shared" si="0"/>
        <v xml:space="preserve"> </v>
      </c>
      <c r="I44" s="143" t="str">
        <f>'3ER TRIMESTRE'!BM45</f>
        <v/>
      </c>
      <c r="J44" s="144" t="str">
        <f t="shared" si="1"/>
        <v xml:space="preserve"> </v>
      </c>
      <c r="K44" s="145"/>
      <c r="L44" s="146" t="str">
        <f t="shared" si="6"/>
        <v/>
      </c>
      <c r="M44" s="570" t="str">
        <f>IF(L44="","",VLOOKUP(L44,$S$80:T$179,2))</f>
        <v/>
      </c>
      <c r="N44" s="571"/>
      <c r="O44" s="147" t="str">
        <f t="shared" ref="O44:O61" si="10">IF(AND(L44&gt;=1,L44&lt;=50),"ED",IF(AND(L44&gt;=51,L44&lt;=68),"DA",IF(AND(L44&gt;=69,L44&lt;=84),"DO",IF(AND(L44&gt;=85,L44&lt;=100),"DP"," "))))</f>
        <v xml:space="preserve"> </v>
      </c>
      <c r="P44" s="301"/>
      <c r="Q44" s="305" t="str">
        <f t="shared" si="7"/>
        <v/>
      </c>
      <c r="R44" s="441" t="str">
        <f>FILIACIÓN!Y43</f>
        <v/>
      </c>
      <c r="S44" s="26" t="str">
        <f>IF(FILIACIÓN!Z43="MOSTRAR","1","")</f>
        <v/>
      </c>
      <c r="T44" s="43" t="str">
        <f>FILIACIÓN!AL43</f>
        <v/>
      </c>
      <c r="U44" s="43" t="str">
        <f t="shared" ref="U44:U61" si="11">IF(OR(T44="",L44=""),"",IF(L44&gt;51,1,""))</f>
        <v/>
      </c>
      <c r="V44" s="43" t="str">
        <f t="shared" ref="V44:V61" si="12">IF(T44=1,IF(OR(L44="",L44&lt;51),1,""),"")</f>
        <v/>
      </c>
      <c r="W44" s="43">
        <f t="shared" ref="W44:W61" si="13">IF(OR(T44=1,A44=""),"",1)</f>
        <v>1</v>
      </c>
      <c r="X44" s="43"/>
      <c r="Y44" s="43"/>
      <c r="Z44" s="43">
        <v>33</v>
      </c>
      <c r="AA44" s="25"/>
      <c r="AB44" s="25" t="str">
        <f t="shared" si="9"/>
        <v/>
      </c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38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</row>
    <row r="45" spans="1:241" s="1" customFormat="1" ht="23.1" hidden="1" customHeight="1">
      <c r="A45" s="140">
        <f>--SUBTOTAL(2,Z$11:Z45)</f>
        <v>34</v>
      </c>
      <c r="B45" s="587" t="str">
        <f>IF(FILIACIÓN!B44="","",UPPER(FILIACIÓN!B44))</f>
        <v/>
      </c>
      <c r="C45" s="588"/>
      <c r="D45" s="589"/>
      <c r="E45" s="141" t="str">
        <f>'1ER TRIMESTRE'!BM46</f>
        <v/>
      </c>
      <c r="F45" s="142" t="str">
        <f t="shared" si="5"/>
        <v xml:space="preserve"> </v>
      </c>
      <c r="G45" s="143" t="str">
        <f>'2DO TRIMESTRE'!BM46</f>
        <v/>
      </c>
      <c r="H45" s="144" t="str">
        <f t="shared" si="0"/>
        <v xml:space="preserve"> </v>
      </c>
      <c r="I45" s="143" t="str">
        <f>'3ER TRIMESTRE'!BM46</f>
        <v/>
      </c>
      <c r="J45" s="144" t="str">
        <f t="shared" si="1"/>
        <v xml:space="preserve"> </v>
      </c>
      <c r="K45" s="145"/>
      <c r="L45" s="146" t="str">
        <f t="shared" si="6"/>
        <v/>
      </c>
      <c r="M45" s="570" t="str">
        <f>IF(L45="","",VLOOKUP(L45,$S$80:T$179,2))</f>
        <v/>
      </c>
      <c r="N45" s="571"/>
      <c r="O45" s="147" t="str">
        <f t="shared" si="10"/>
        <v xml:space="preserve"> </v>
      </c>
      <c r="P45" s="301"/>
      <c r="Q45" s="305" t="str">
        <f t="shared" si="7"/>
        <v/>
      </c>
      <c r="R45" s="441" t="str">
        <f>FILIACIÓN!Y44</f>
        <v/>
      </c>
      <c r="S45" s="26" t="str">
        <f>IF(FILIACIÓN!Z44="MOSTRAR","1","")</f>
        <v/>
      </c>
      <c r="T45" s="43" t="str">
        <f>FILIACIÓN!AL44</f>
        <v/>
      </c>
      <c r="U45" s="43" t="str">
        <f t="shared" si="11"/>
        <v/>
      </c>
      <c r="V45" s="43" t="str">
        <f t="shared" si="12"/>
        <v/>
      </c>
      <c r="W45" s="43">
        <f t="shared" si="13"/>
        <v>1</v>
      </c>
      <c r="X45" s="43"/>
      <c r="Y45" s="43"/>
      <c r="Z45" s="43">
        <v>34</v>
      </c>
      <c r="AA45" s="25"/>
      <c r="AB45" s="25" t="str">
        <f t="shared" si="9"/>
        <v/>
      </c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38"/>
      <c r="BH45" s="38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</row>
    <row r="46" spans="1:241" s="1" customFormat="1" ht="23.1" hidden="1" customHeight="1">
      <c r="A46" s="140">
        <f>--SUBTOTAL(2,Z$11:Z46)</f>
        <v>35</v>
      </c>
      <c r="B46" s="587" t="str">
        <f>IF(FILIACIÓN!B45="","",UPPER(FILIACIÓN!B45))</f>
        <v/>
      </c>
      <c r="C46" s="588"/>
      <c r="D46" s="589"/>
      <c r="E46" s="141" t="str">
        <f>'1ER TRIMESTRE'!BM47</f>
        <v/>
      </c>
      <c r="F46" s="142" t="str">
        <f t="shared" si="5"/>
        <v xml:space="preserve"> </v>
      </c>
      <c r="G46" s="143" t="str">
        <f>'2DO TRIMESTRE'!BM47</f>
        <v/>
      </c>
      <c r="H46" s="144" t="str">
        <f t="shared" si="0"/>
        <v xml:space="preserve"> </v>
      </c>
      <c r="I46" s="143" t="str">
        <f>'3ER TRIMESTRE'!BM47</f>
        <v/>
      </c>
      <c r="J46" s="144" t="str">
        <f t="shared" si="1"/>
        <v xml:space="preserve"> </v>
      </c>
      <c r="K46" s="145"/>
      <c r="L46" s="146" t="str">
        <f t="shared" si="6"/>
        <v/>
      </c>
      <c r="M46" s="570" t="str">
        <f>IF(L46="","",VLOOKUP(L46,$S$80:T$179,2))</f>
        <v/>
      </c>
      <c r="N46" s="571"/>
      <c r="O46" s="147" t="str">
        <f t="shared" si="10"/>
        <v xml:space="preserve"> </v>
      </c>
      <c r="P46" s="301"/>
      <c r="Q46" s="305" t="str">
        <f t="shared" si="7"/>
        <v/>
      </c>
      <c r="R46" s="441" t="str">
        <f>FILIACIÓN!Y45</f>
        <v/>
      </c>
      <c r="S46" s="26" t="str">
        <f>IF(FILIACIÓN!Z45="MOSTRAR","1","")</f>
        <v/>
      </c>
      <c r="T46" s="43" t="str">
        <f>FILIACIÓN!AL45</f>
        <v/>
      </c>
      <c r="U46" s="43" t="str">
        <f t="shared" si="11"/>
        <v/>
      </c>
      <c r="V46" s="43" t="str">
        <f t="shared" si="12"/>
        <v/>
      </c>
      <c r="W46" s="43">
        <f t="shared" si="13"/>
        <v>1</v>
      </c>
      <c r="X46" s="43"/>
      <c r="Y46" s="43"/>
      <c r="Z46" s="43">
        <v>35</v>
      </c>
      <c r="AA46" s="25"/>
      <c r="AB46" s="25" t="str">
        <f t="shared" si="9"/>
        <v/>
      </c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  <c r="AQ46" s="38"/>
      <c r="AR46" s="38"/>
      <c r="AS46" s="38"/>
      <c r="AT46" s="38"/>
      <c r="AU46" s="38"/>
      <c r="AV46" s="38"/>
      <c r="AW46" s="38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</row>
    <row r="47" spans="1:241" s="1" customFormat="1" ht="23.1" hidden="1" customHeight="1">
      <c r="A47" s="140">
        <f>--SUBTOTAL(2,Z$11:Z47)</f>
        <v>36</v>
      </c>
      <c r="B47" s="587" t="str">
        <f>IF(FILIACIÓN!B46="","",UPPER(FILIACIÓN!B46))</f>
        <v/>
      </c>
      <c r="C47" s="588"/>
      <c r="D47" s="589"/>
      <c r="E47" s="141" t="str">
        <f>'1ER TRIMESTRE'!BM48</f>
        <v/>
      </c>
      <c r="F47" s="142" t="str">
        <f t="shared" si="5"/>
        <v xml:space="preserve"> </v>
      </c>
      <c r="G47" s="143" t="str">
        <f>'2DO TRIMESTRE'!BM48</f>
        <v/>
      </c>
      <c r="H47" s="144" t="str">
        <f t="shared" si="0"/>
        <v xml:space="preserve"> </v>
      </c>
      <c r="I47" s="143" t="str">
        <f>'3ER TRIMESTRE'!BM48</f>
        <v/>
      </c>
      <c r="J47" s="144" t="str">
        <f t="shared" si="1"/>
        <v xml:space="preserve"> </v>
      </c>
      <c r="K47" s="145"/>
      <c r="L47" s="146" t="str">
        <f t="shared" si="6"/>
        <v/>
      </c>
      <c r="M47" s="570" t="str">
        <f>IF(L47="","",VLOOKUP(L47,$S$80:T$179,2))</f>
        <v/>
      </c>
      <c r="N47" s="571"/>
      <c r="O47" s="147" t="str">
        <f t="shared" si="10"/>
        <v xml:space="preserve"> </v>
      </c>
      <c r="P47" s="301"/>
      <c r="Q47" s="305" t="str">
        <f t="shared" si="7"/>
        <v/>
      </c>
      <c r="R47" s="441" t="str">
        <f>FILIACIÓN!Y46</f>
        <v/>
      </c>
      <c r="S47" s="26" t="str">
        <f>IF(FILIACIÓN!Z46="MOSTRAR","1","")</f>
        <v/>
      </c>
      <c r="T47" s="43" t="str">
        <f>FILIACIÓN!AL46</f>
        <v/>
      </c>
      <c r="U47" s="43" t="str">
        <f t="shared" si="11"/>
        <v/>
      </c>
      <c r="V47" s="43" t="str">
        <f t="shared" si="12"/>
        <v/>
      </c>
      <c r="W47" s="43">
        <f t="shared" si="13"/>
        <v>1</v>
      </c>
      <c r="X47" s="43"/>
      <c r="Y47" s="43"/>
      <c r="Z47" s="43">
        <v>36</v>
      </c>
      <c r="AA47" s="25"/>
      <c r="AB47" s="25" t="str">
        <f t="shared" si="9"/>
        <v/>
      </c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  <c r="AQ47" s="38"/>
      <c r="AR47" s="38"/>
      <c r="AS47" s="38"/>
      <c r="AT47" s="38"/>
      <c r="AU47" s="38"/>
      <c r="AV47" s="38"/>
      <c r="AW47" s="38"/>
      <c r="AX47" s="38"/>
      <c r="AY47" s="38"/>
      <c r="AZ47" s="38"/>
      <c r="BA47" s="38"/>
      <c r="BB47" s="38"/>
      <c r="BC47" s="38"/>
      <c r="BD47" s="38"/>
      <c r="BE47" s="38"/>
      <c r="BF47" s="38"/>
      <c r="BG47" s="38"/>
      <c r="BH47" s="38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</row>
    <row r="48" spans="1:241" s="1" customFormat="1" ht="23.1" hidden="1" customHeight="1">
      <c r="A48" s="140">
        <f>--SUBTOTAL(2,Z$11:Z48)</f>
        <v>37</v>
      </c>
      <c r="B48" s="587" t="str">
        <f>IF(FILIACIÓN!B47="","",UPPER(FILIACIÓN!B47))</f>
        <v/>
      </c>
      <c r="C48" s="588"/>
      <c r="D48" s="589"/>
      <c r="E48" s="141" t="str">
        <f>'1ER TRIMESTRE'!BM49</f>
        <v/>
      </c>
      <c r="F48" s="142" t="str">
        <f t="shared" si="5"/>
        <v xml:space="preserve"> </v>
      </c>
      <c r="G48" s="143" t="str">
        <f>'2DO TRIMESTRE'!BM49</f>
        <v/>
      </c>
      <c r="H48" s="144" t="str">
        <f t="shared" si="0"/>
        <v xml:space="preserve"> </v>
      </c>
      <c r="I48" s="143" t="str">
        <f>'3ER TRIMESTRE'!BM49</f>
        <v/>
      </c>
      <c r="J48" s="144" t="str">
        <f t="shared" si="1"/>
        <v xml:space="preserve"> </v>
      </c>
      <c r="K48" s="145"/>
      <c r="L48" s="146" t="str">
        <f t="shared" si="6"/>
        <v/>
      </c>
      <c r="M48" s="570" t="str">
        <f>IF(L48="","",VLOOKUP(L48,$S$80:T$179,2))</f>
        <v/>
      </c>
      <c r="N48" s="571"/>
      <c r="O48" s="147" t="str">
        <f t="shared" si="10"/>
        <v xml:space="preserve"> </v>
      </c>
      <c r="P48" s="301"/>
      <c r="Q48" s="305" t="str">
        <f t="shared" si="7"/>
        <v/>
      </c>
      <c r="R48" s="441" t="str">
        <f>FILIACIÓN!Y47</f>
        <v/>
      </c>
      <c r="S48" s="26" t="str">
        <f>IF(FILIACIÓN!Z47="MOSTRAR","1","")</f>
        <v/>
      </c>
      <c r="T48" s="43" t="str">
        <f>FILIACIÓN!AL47</f>
        <v/>
      </c>
      <c r="U48" s="43" t="str">
        <f t="shared" si="11"/>
        <v/>
      </c>
      <c r="V48" s="43" t="str">
        <f t="shared" si="12"/>
        <v/>
      </c>
      <c r="W48" s="43">
        <f t="shared" si="13"/>
        <v>1</v>
      </c>
      <c r="X48" s="43"/>
      <c r="Y48" s="43"/>
      <c r="Z48" s="43">
        <v>37</v>
      </c>
      <c r="AA48" s="25"/>
      <c r="AB48" s="25" t="str">
        <f t="shared" si="9"/>
        <v/>
      </c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</row>
    <row r="49" spans="1:241" s="1" customFormat="1" ht="23.1" hidden="1" customHeight="1">
      <c r="A49" s="140">
        <f>--SUBTOTAL(2,Z$11:Z49)</f>
        <v>38</v>
      </c>
      <c r="B49" s="587" t="str">
        <f>IF(FILIACIÓN!B48="","",UPPER(FILIACIÓN!B48))</f>
        <v/>
      </c>
      <c r="C49" s="588"/>
      <c r="D49" s="589"/>
      <c r="E49" s="141" t="str">
        <f>'1ER TRIMESTRE'!BM50</f>
        <v/>
      </c>
      <c r="F49" s="142" t="str">
        <f t="shared" si="5"/>
        <v xml:space="preserve"> </v>
      </c>
      <c r="G49" s="143" t="str">
        <f>'2DO TRIMESTRE'!BM50</f>
        <v/>
      </c>
      <c r="H49" s="144" t="str">
        <f t="shared" si="0"/>
        <v xml:space="preserve"> </v>
      </c>
      <c r="I49" s="143" t="str">
        <f>'3ER TRIMESTRE'!BM50</f>
        <v/>
      </c>
      <c r="J49" s="144" t="str">
        <f t="shared" si="1"/>
        <v xml:space="preserve"> </v>
      </c>
      <c r="K49" s="145"/>
      <c r="L49" s="146" t="str">
        <f t="shared" si="6"/>
        <v/>
      </c>
      <c r="M49" s="570" t="str">
        <f>IF(L49="","",VLOOKUP(L49,$S$80:T$179,2))</f>
        <v/>
      </c>
      <c r="N49" s="571"/>
      <c r="O49" s="147" t="str">
        <f t="shared" si="10"/>
        <v xml:space="preserve"> </v>
      </c>
      <c r="P49" s="301"/>
      <c r="Q49" s="305" t="str">
        <f t="shared" si="7"/>
        <v/>
      </c>
      <c r="R49" s="441" t="str">
        <f>FILIACIÓN!Y48</f>
        <v/>
      </c>
      <c r="S49" s="26" t="str">
        <f>IF(FILIACIÓN!Z48="MOSTRAR","1","")</f>
        <v/>
      </c>
      <c r="T49" s="43" t="str">
        <f>FILIACIÓN!AL48</f>
        <v/>
      </c>
      <c r="U49" s="43" t="str">
        <f t="shared" si="11"/>
        <v/>
      </c>
      <c r="V49" s="43" t="str">
        <f t="shared" si="12"/>
        <v/>
      </c>
      <c r="W49" s="43">
        <f t="shared" si="13"/>
        <v>1</v>
      </c>
      <c r="X49" s="43"/>
      <c r="Y49" s="43"/>
      <c r="Z49" s="43">
        <v>38</v>
      </c>
      <c r="AA49" s="25"/>
      <c r="AB49" s="25" t="str">
        <f t="shared" si="9"/>
        <v/>
      </c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</row>
    <row r="50" spans="1:241" s="1" customFormat="1" ht="23.1" hidden="1" customHeight="1">
      <c r="A50" s="140">
        <f>--SUBTOTAL(2,Z$11:Z50)</f>
        <v>39</v>
      </c>
      <c r="B50" s="587" t="str">
        <f>IF(FILIACIÓN!B49="","",UPPER(FILIACIÓN!B49))</f>
        <v/>
      </c>
      <c r="C50" s="588"/>
      <c r="D50" s="589"/>
      <c r="E50" s="141" t="str">
        <f>'1ER TRIMESTRE'!BM51</f>
        <v/>
      </c>
      <c r="F50" s="142" t="str">
        <f t="shared" si="5"/>
        <v xml:space="preserve"> </v>
      </c>
      <c r="G50" s="143" t="str">
        <f>'2DO TRIMESTRE'!BM51</f>
        <v/>
      </c>
      <c r="H50" s="144" t="str">
        <f t="shared" si="0"/>
        <v xml:space="preserve"> </v>
      </c>
      <c r="I50" s="143" t="str">
        <f>'3ER TRIMESTRE'!BM51</f>
        <v/>
      </c>
      <c r="J50" s="144" t="str">
        <f t="shared" si="1"/>
        <v xml:space="preserve"> </v>
      </c>
      <c r="K50" s="145"/>
      <c r="L50" s="146" t="str">
        <f t="shared" si="6"/>
        <v/>
      </c>
      <c r="M50" s="570" t="str">
        <f>IF(L50="","",VLOOKUP(L50,$S$80:T$179,2))</f>
        <v/>
      </c>
      <c r="N50" s="571"/>
      <c r="O50" s="147" t="str">
        <f t="shared" si="10"/>
        <v xml:space="preserve"> </v>
      </c>
      <c r="P50" s="301"/>
      <c r="Q50" s="305" t="str">
        <f t="shared" si="7"/>
        <v/>
      </c>
      <c r="R50" s="441" t="str">
        <f>FILIACIÓN!Y49</f>
        <v/>
      </c>
      <c r="S50" s="26" t="str">
        <f>IF(FILIACIÓN!Z49="MOSTRAR","1","")</f>
        <v/>
      </c>
      <c r="T50" s="43" t="str">
        <f>FILIACIÓN!AL49</f>
        <v/>
      </c>
      <c r="U50" s="43" t="str">
        <f t="shared" si="11"/>
        <v/>
      </c>
      <c r="V50" s="43" t="str">
        <f t="shared" si="12"/>
        <v/>
      </c>
      <c r="W50" s="43">
        <f t="shared" si="13"/>
        <v>1</v>
      </c>
      <c r="X50" s="43"/>
      <c r="Y50" s="43"/>
      <c r="Z50" s="43">
        <v>39</v>
      </c>
      <c r="AA50" s="25"/>
      <c r="AB50" s="25" t="str">
        <f t="shared" si="9"/>
        <v/>
      </c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  <c r="AQ50" s="38"/>
      <c r="AR50" s="38"/>
      <c r="AS50" s="38"/>
      <c r="AT50" s="38"/>
      <c r="AU50" s="38"/>
      <c r="AV50" s="38"/>
      <c r="AW50" s="38"/>
      <c r="AX50" s="38"/>
      <c r="AY50" s="38"/>
      <c r="AZ50" s="38"/>
      <c r="BA50" s="38"/>
      <c r="BB50" s="38"/>
      <c r="BC50" s="38"/>
      <c r="BD50" s="38"/>
      <c r="BE50" s="38"/>
      <c r="BF50" s="38"/>
      <c r="BG50" s="38"/>
      <c r="BH50" s="38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</row>
    <row r="51" spans="1:241" s="1" customFormat="1" ht="23.1" hidden="1" customHeight="1">
      <c r="A51" s="140">
        <f>--SUBTOTAL(2,Z$11:Z51)</f>
        <v>40</v>
      </c>
      <c r="B51" s="587" t="str">
        <f>IF(FILIACIÓN!B50="","",UPPER(FILIACIÓN!B50))</f>
        <v/>
      </c>
      <c r="C51" s="588"/>
      <c r="D51" s="589"/>
      <c r="E51" s="141" t="str">
        <f>'1ER TRIMESTRE'!BM52</f>
        <v/>
      </c>
      <c r="F51" s="142" t="str">
        <f t="shared" si="5"/>
        <v xml:space="preserve"> </v>
      </c>
      <c r="G51" s="143" t="str">
        <f>'2DO TRIMESTRE'!BM52</f>
        <v/>
      </c>
      <c r="H51" s="144" t="str">
        <f t="shared" si="0"/>
        <v xml:space="preserve"> </v>
      </c>
      <c r="I51" s="143" t="str">
        <f>'3ER TRIMESTRE'!BM52</f>
        <v/>
      </c>
      <c r="J51" s="144" t="str">
        <f t="shared" si="1"/>
        <v xml:space="preserve"> </v>
      </c>
      <c r="K51" s="145"/>
      <c r="L51" s="146" t="str">
        <f t="shared" si="6"/>
        <v/>
      </c>
      <c r="M51" s="570" t="str">
        <f>IF(L51="","",VLOOKUP(L51,$S$80:T$179,2))</f>
        <v/>
      </c>
      <c r="N51" s="571"/>
      <c r="O51" s="147" t="str">
        <f t="shared" si="10"/>
        <v xml:space="preserve"> </v>
      </c>
      <c r="P51" s="301"/>
      <c r="Q51" s="305" t="str">
        <f t="shared" si="7"/>
        <v/>
      </c>
      <c r="R51" s="441" t="str">
        <f>FILIACIÓN!Y50</f>
        <v/>
      </c>
      <c r="S51" s="26" t="str">
        <f>IF(FILIACIÓN!Z50="MOSTRAR","1","")</f>
        <v/>
      </c>
      <c r="T51" s="43" t="str">
        <f>FILIACIÓN!AL50</f>
        <v/>
      </c>
      <c r="U51" s="43" t="str">
        <f t="shared" si="11"/>
        <v/>
      </c>
      <c r="V51" s="43" t="str">
        <f t="shared" si="12"/>
        <v/>
      </c>
      <c r="W51" s="43">
        <f t="shared" si="13"/>
        <v>1</v>
      </c>
      <c r="X51" s="43"/>
      <c r="Y51" s="43"/>
      <c r="Z51" s="43">
        <v>40</v>
      </c>
      <c r="AA51" s="25"/>
      <c r="AB51" s="25" t="str">
        <f t="shared" si="9"/>
        <v/>
      </c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  <c r="AQ51" s="38"/>
      <c r="AR51" s="38"/>
      <c r="AS51" s="38"/>
      <c r="AT51" s="38"/>
      <c r="AU51" s="38"/>
      <c r="AV51" s="38"/>
      <c r="AW51" s="38"/>
      <c r="AX51" s="38"/>
      <c r="AY51" s="38"/>
      <c r="AZ51" s="38"/>
      <c r="BA51" s="38"/>
      <c r="BB51" s="38"/>
      <c r="BC51" s="38"/>
      <c r="BD51" s="38"/>
      <c r="BE51" s="38"/>
      <c r="BF51" s="38"/>
      <c r="BG51" s="38"/>
      <c r="BH51" s="38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</row>
    <row r="52" spans="1:241" s="1" customFormat="1" ht="23.1" hidden="1" customHeight="1">
      <c r="A52" s="140">
        <f>--SUBTOTAL(2,Z$11:Z52)</f>
        <v>41</v>
      </c>
      <c r="B52" s="587" t="str">
        <f>IF(FILIACIÓN!B51="","",UPPER(FILIACIÓN!B51))</f>
        <v/>
      </c>
      <c r="C52" s="588"/>
      <c r="D52" s="589"/>
      <c r="E52" s="141" t="str">
        <f>'1ER TRIMESTRE'!BM53</f>
        <v/>
      </c>
      <c r="F52" s="142" t="str">
        <f t="shared" si="5"/>
        <v xml:space="preserve"> </v>
      </c>
      <c r="G52" s="143" t="str">
        <f>'2DO TRIMESTRE'!BM53</f>
        <v/>
      </c>
      <c r="H52" s="144" t="str">
        <f t="shared" si="0"/>
        <v xml:space="preserve"> </v>
      </c>
      <c r="I52" s="143" t="str">
        <f>'3ER TRIMESTRE'!BM53</f>
        <v/>
      </c>
      <c r="J52" s="144" t="str">
        <f t="shared" si="1"/>
        <v xml:space="preserve"> </v>
      </c>
      <c r="K52" s="145"/>
      <c r="L52" s="146" t="str">
        <f t="shared" si="6"/>
        <v/>
      </c>
      <c r="M52" s="570" t="str">
        <f>IF(L52="","",VLOOKUP(L52,$S$80:T$179,2))</f>
        <v/>
      </c>
      <c r="N52" s="571"/>
      <c r="O52" s="147" t="str">
        <f t="shared" si="10"/>
        <v xml:space="preserve"> </v>
      </c>
      <c r="P52" s="301"/>
      <c r="Q52" s="305" t="str">
        <f t="shared" si="7"/>
        <v/>
      </c>
      <c r="R52" s="441" t="str">
        <f>FILIACIÓN!Y51</f>
        <v/>
      </c>
      <c r="S52" s="26" t="str">
        <f>IF(FILIACIÓN!Z51="MOSTRAR","1","")</f>
        <v/>
      </c>
      <c r="T52" s="43" t="str">
        <f>FILIACIÓN!AL51</f>
        <v/>
      </c>
      <c r="U52" s="43" t="str">
        <f t="shared" si="11"/>
        <v/>
      </c>
      <c r="V52" s="43" t="str">
        <f t="shared" si="12"/>
        <v/>
      </c>
      <c r="W52" s="43">
        <f t="shared" si="13"/>
        <v>1</v>
      </c>
      <c r="X52" s="43"/>
      <c r="Y52" s="43"/>
      <c r="Z52" s="43">
        <v>41</v>
      </c>
      <c r="AA52" s="25"/>
      <c r="AB52" s="25" t="str">
        <f t="shared" si="9"/>
        <v/>
      </c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</row>
    <row r="53" spans="1:241" s="1" customFormat="1" ht="23.1" hidden="1" customHeight="1">
      <c r="A53" s="140">
        <f>--SUBTOTAL(2,Z$11:Z53)</f>
        <v>42</v>
      </c>
      <c r="B53" s="587" t="str">
        <f>IF(FILIACIÓN!B52="","",UPPER(FILIACIÓN!B52))</f>
        <v/>
      </c>
      <c r="C53" s="588"/>
      <c r="D53" s="589"/>
      <c r="E53" s="141" t="str">
        <f>'1ER TRIMESTRE'!BM54</f>
        <v/>
      </c>
      <c r="F53" s="142" t="str">
        <f t="shared" si="5"/>
        <v xml:space="preserve"> </v>
      </c>
      <c r="G53" s="143" t="str">
        <f>'2DO TRIMESTRE'!BM54</f>
        <v/>
      </c>
      <c r="H53" s="144" t="str">
        <f t="shared" si="0"/>
        <v xml:space="preserve"> </v>
      </c>
      <c r="I53" s="143" t="str">
        <f>'3ER TRIMESTRE'!BM54</f>
        <v/>
      </c>
      <c r="J53" s="144" t="str">
        <f t="shared" si="1"/>
        <v xml:space="preserve"> </v>
      </c>
      <c r="K53" s="145"/>
      <c r="L53" s="146" t="str">
        <f t="shared" si="6"/>
        <v/>
      </c>
      <c r="M53" s="570" t="str">
        <f>IF(L53="","",VLOOKUP(L53,$S$80:T$179,2))</f>
        <v/>
      </c>
      <c r="N53" s="571"/>
      <c r="O53" s="147" t="str">
        <f t="shared" si="10"/>
        <v xml:space="preserve"> </v>
      </c>
      <c r="P53" s="301"/>
      <c r="Q53" s="305" t="str">
        <f t="shared" si="7"/>
        <v/>
      </c>
      <c r="R53" s="441" t="str">
        <f>FILIACIÓN!Y52</f>
        <v/>
      </c>
      <c r="S53" s="26" t="str">
        <f>IF(FILIACIÓN!Z52="MOSTRAR","1","")</f>
        <v/>
      </c>
      <c r="T53" s="43" t="str">
        <f>FILIACIÓN!AL52</f>
        <v/>
      </c>
      <c r="U53" s="43" t="str">
        <f t="shared" si="11"/>
        <v/>
      </c>
      <c r="V53" s="43" t="str">
        <f t="shared" si="12"/>
        <v/>
      </c>
      <c r="W53" s="43">
        <f t="shared" si="13"/>
        <v>1</v>
      </c>
      <c r="X53" s="43"/>
      <c r="Y53" s="43"/>
      <c r="Z53" s="43">
        <v>42</v>
      </c>
      <c r="AA53" s="25"/>
      <c r="AB53" s="25" t="str">
        <f t="shared" si="9"/>
        <v/>
      </c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</row>
    <row r="54" spans="1:241" s="1" customFormat="1" ht="23.1" hidden="1" customHeight="1">
      <c r="A54" s="140">
        <f>--SUBTOTAL(2,Z$11:Z54)</f>
        <v>43</v>
      </c>
      <c r="B54" s="587" t="str">
        <f>IF(FILIACIÓN!B53="","",UPPER(FILIACIÓN!B53))</f>
        <v/>
      </c>
      <c r="C54" s="588"/>
      <c r="D54" s="589"/>
      <c r="E54" s="141" t="str">
        <f>'1ER TRIMESTRE'!BM55</f>
        <v/>
      </c>
      <c r="F54" s="142" t="str">
        <f t="shared" si="5"/>
        <v xml:space="preserve"> </v>
      </c>
      <c r="G54" s="143" t="str">
        <f>'2DO TRIMESTRE'!BM55</f>
        <v/>
      </c>
      <c r="H54" s="144" t="str">
        <f t="shared" si="0"/>
        <v xml:space="preserve"> </v>
      </c>
      <c r="I54" s="143" t="str">
        <f>'3ER TRIMESTRE'!BM55</f>
        <v/>
      </c>
      <c r="J54" s="144" t="str">
        <f t="shared" si="1"/>
        <v xml:space="preserve"> </v>
      </c>
      <c r="K54" s="145"/>
      <c r="L54" s="146" t="str">
        <f t="shared" si="6"/>
        <v/>
      </c>
      <c r="M54" s="570" t="str">
        <f>IF(L54="","",VLOOKUP(L54,$S$80:T$179,2))</f>
        <v/>
      </c>
      <c r="N54" s="571"/>
      <c r="O54" s="147" t="str">
        <f t="shared" si="10"/>
        <v xml:space="preserve"> </v>
      </c>
      <c r="P54" s="301"/>
      <c r="Q54" s="305" t="str">
        <f t="shared" si="7"/>
        <v/>
      </c>
      <c r="R54" s="441" t="str">
        <f>FILIACIÓN!Y53</f>
        <v/>
      </c>
      <c r="S54" s="26" t="str">
        <f>IF(FILIACIÓN!Z53="MOSTRAR","1","")</f>
        <v/>
      </c>
      <c r="T54" s="43" t="str">
        <f>FILIACIÓN!AL53</f>
        <v/>
      </c>
      <c r="U54" s="43" t="str">
        <f t="shared" si="11"/>
        <v/>
      </c>
      <c r="V54" s="43" t="str">
        <f t="shared" si="12"/>
        <v/>
      </c>
      <c r="W54" s="43">
        <f t="shared" si="13"/>
        <v>1</v>
      </c>
      <c r="X54" s="43"/>
      <c r="Y54" s="43"/>
      <c r="Z54" s="43">
        <v>43</v>
      </c>
      <c r="AA54" s="25"/>
      <c r="AB54" s="25" t="str">
        <f t="shared" si="9"/>
        <v/>
      </c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</row>
    <row r="55" spans="1:241" s="511" customFormat="1" ht="23.1" hidden="1" customHeight="1">
      <c r="A55" s="140">
        <f>--SUBTOTAL(2,Z$11:Z55)</f>
        <v>44</v>
      </c>
      <c r="B55" s="587" t="str">
        <f>IF(FILIACIÓN!B54="","",UPPER(FILIACIÓN!B54))</f>
        <v/>
      </c>
      <c r="C55" s="588"/>
      <c r="D55" s="589"/>
      <c r="E55" s="141" t="str">
        <f>'1ER TRIMESTRE'!BM56</f>
        <v/>
      </c>
      <c r="F55" s="142" t="str">
        <f t="shared" ref="F55:F59" si="14">IF(AND(E55&gt;=1,E55&lt;=50),"ED",IF(AND(E55&gt;=51,E55&lt;=68),"DA",IF(AND(E55&gt;=69,E55&lt;=84),"DO",IF(AND(E55&gt;=85,E55&lt;=100),"DP"," "))))</f>
        <v xml:space="preserve"> </v>
      </c>
      <c r="G55" s="143" t="str">
        <f>'2DO TRIMESTRE'!BM56</f>
        <v/>
      </c>
      <c r="H55" s="144" t="str">
        <f t="shared" ref="H55:H59" si="15">IF(AND(G55&gt;=1,G55&lt;=50),"ED",IF(AND(G55&gt;=51,G55&lt;=68),"DA",IF(AND(G55&gt;=69,G55&lt;=84),"DO",IF(AND(G55&gt;=85,G55&lt;=100),"DP"," "))))</f>
        <v xml:space="preserve"> </v>
      </c>
      <c r="I55" s="143" t="str">
        <f>'3ER TRIMESTRE'!BM56</f>
        <v/>
      </c>
      <c r="J55" s="144" t="str">
        <f t="shared" ref="J55:J59" si="16">IF(AND(I55&gt;=1,I55&lt;=50),"ED",IF(AND(I55&gt;=51,I55&lt;=68),"DA",IF(AND(I55&gt;=69,I55&lt;=84),"DO",IF(AND(I55&gt;=85,I55&lt;=100),"DP"," "))))</f>
        <v xml:space="preserve"> </v>
      </c>
      <c r="K55" s="145"/>
      <c r="L55" s="146" t="str">
        <f t="shared" ref="L55:L59" si="17">IF(OR(E55="",G55="",I55=""),"",ROUND(AVERAGE(E55,G55,I55),0))</f>
        <v/>
      </c>
      <c r="M55" s="570" t="str">
        <f>IF(L55="","",VLOOKUP(L55,$S$80:T$179,2))</f>
        <v/>
      </c>
      <c r="N55" s="571"/>
      <c r="O55" s="147" t="str">
        <f t="shared" ref="O55:O59" si="18">IF(AND(L55&gt;=1,L55&lt;=50),"ED",IF(AND(L55&gt;=51,L55&lt;=68),"DA",IF(AND(L55&gt;=69,L55&lt;=84),"DO",IF(AND(L55&gt;=85,L55&lt;=100),"DP"," "))))</f>
        <v xml:space="preserve"> </v>
      </c>
      <c r="P55" s="301"/>
      <c r="Q55" s="305" t="str">
        <f t="shared" ref="Q55:Q59" si="19">IF(L55="","",IF(L55&gt;=51,"PROMOVIDO","REPROBADO"))</f>
        <v/>
      </c>
      <c r="R55" s="441" t="str">
        <f>FILIACIÓN!Y54</f>
        <v/>
      </c>
      <c r="S55" s="26" t="str">
        <f>IF(FILIACIÓN!Z54="MOSTRAR","1","")</f>
        <v/>
      </c>
      <c r="T55" s="43" t="str">
        <f>FILIACIÓN!AL54</f>
        <v/>
      </c>
      <c r="U55" s="43" t="str">
        <f t="shared" ref="U55:U59" si="20">IF(OR(T55="",L55=""),"",IF(L55&gt;51,1,""))</f>
        <v/>
      </c>
      <c r="V55" s="43" t="str">
        <f t="shared" ref="V55:V59" si="21">IF(T55=1,IF(OR(L55="",L55&lt;51),1,""),"")</f>
        <v/>
      </c>
      <c r="W55" s="43">
        <f t="shared" ref="W55:W59" si="22">IF(OR(T55=1,A55=""),"",1)</f>
        <v>1</v>
      </c>
      <c r="X55" s="43"/>
      <c r="Y55" s="43"/>
      <c r="Z55" s="43">
        <v>44</v>
      </c>
      <c r="AA55" s="25"/>
      <c r="AB55" s="25" t="str">
        <f t="shared" si="9"/>
        <v/>
      </c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HR55" s="378"/>
      <c r="HS55" s="378"/>
      <c r="HT55" s="378"/>
      <c r="HU55" s="378"/>
      <c r="HV55" s="378"/>
      <c r="HW55" s="378"/>
      <c r="HX55" s="378"/>
      <c r="HY55" s="378"/>
      <c r="HZ55" s="378"/>
      <c r="IA55" s="378"/>
      <c r="IB55" s="378"/>
      <c r="IC55" s="378"/>
      <c r="ID55" s="378"/>
      <c r="IE55" s="378"/>
      <c r="IF55" s="378"/>
      <c r="IG55" s="378"/>
    </row>
    <row r="56" spans="1:241" s="511" customFormat="1" ht="23.1" hidden="1" customHeight="1">
      <c r="A56" s="140">
        <f>--SUBTOTAL(2,Z$11:Z56)</f>
        <v>45</v>
      </c>
      <c r="B56" s="587" t="str">
        <f>IF(FILIACIÓN!B55="","",UPPER(FILIACIÓN!B55))</f>
        <v/>
      </c>
      <c r="C56" s="588"/>
      <c r="D56" s="589"/>
      <c r="E56" s="141" t="str">
        <f>'1ER TRIMESTRE'!BM57</f>
        <v/>
      </c>
      <c r="F56" s="142" t="str">
        <f t="shared" si="14"/>
        <v xml:space="preserve"> </v>
      </c>
      <c r="G56" s="143" t="str">
        <f>'2DO TRIMESTRE'!BM57</f>
        <v/>
      </c>
      <c r="H56" s="144" t="str">
        <f t="shared" si="15"/>
        <v xml:space="preserve"> </v>
      </c>
      <c r="I56" s="143" t="str">
        <f>'3ER TRIMESTRE'!BM57</f>
        <v/>
      </c>
      <c r="J56" s="144" t="str">
        <f t="shared" si="16"/>
        <v xml:space="preserve"> </v>
      </c>
      <c r="K56" s="145"/>
      <c r="L56" s="146" t="str">
        <f t="shared" si="17"/>
        <v/>
      </c>
      <c r="M56" s="570" t="str">
        <f>IF(L56="","",VLOOKUP(L56,$S$80:T$179,2))</f>
        <v/>
      </c>
      <c r="N56" s="571"/>
      <c r="O56" s="147" t="str">
        <f t="shared" si="18"/>
        <v xml:space="preserve"> </v>
      </c>
      <c r="P56" s="301"/>
      <c r="Q56" s="305" t="str">
        <f t="shared" si="19"/>
        <v/>
      </c>
      <c r="R56" s="441" t="str">
        <f>FILIACIÓN!Y55</f>
        <v/>
      </c>
      <c r="S56" s="26" t="str">
        <f>IF(FILIACIÓN!Z55="MOSTRAR","1","")</f>
        <v/>
      </c>
      <c r="T56" s="43" t="str">
        <f>FILIACIÓN!AL55</f>
        <v/>
      </c>
      <c r="U56" s="43" t="str">
        <f t="shared" si="20"/>
        <v/>
      </c>
      <c r="V56" s="43" t="str">
        <f t="shared" si="21"/>
        <v/>
      </c>
      <c r="W56" s="43">
        <f t="shared" si="22"/>
        <v>1</v>
      </c>
      <c r="X56" s="43"/>
      <c r="Y56" s="43"/>
      <c r="Z56" s="43">
        <v>45</v>
      </c>
      <c r="AA56" s="25"/>
      <c r="AB56" s="25" t="str">
        <f t="shared" si="9"/>
        <v/>
      </c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HR56" s="378"/>
      <c r="HS56" s="378"/>
      <c r="HT56" s="378"/>
      <c r="HU56" s="378"/>
      <c r="HV56" s="378"/>
      <c r="HW56" s="378"/>
      <c r="HX56" s="378"/>
      <c r="HY56" s="378"/>
      <c r="HZ56" s="378"/>
      <c r="IA56" s="378"/>
      <c r="IB56" s="378"/>
      <c r="IC56" s="378"/>
      <c r="ID56" s="378"/>
      <c r="IE56" s="378"/>
      <c r="IF56" s="378"/>
      <c r="IG56" s="378"/>
    </row>
    <row r="57" spans="1:241" s="511" customFormat="1" ht="23.1" hidden="1" customHeight="1">
      <c r="A57" s="140">
        <f>--SUBTOTAL(2,Z$11:Z57)</f>
        <v>46</v>
      </c>
      <c r="B57" s="587" t="str">
        <f>IF(FILIACIÓN!B56="","",UPPER(FILIACIÓN!B56))</f>
        <v/>
      </c>
      <c r="C57" s="588"/>
      <c r="D57" s="589"/>
      <c r="E57" s="141" t="str">
        <f>'1ER TRIMESTRE'!BM58</f>
        <v/>
      </c>
      <c r="F57" s="142" t="str">
        <f t="shared" si="14"/>
        <v xml:space="preserve"> </v>
      </c>
      <c r="G57" s="143" t="str">
        <f>'2DO TRIMESTRE'!BM58</f>
        <v/>
      </c>
      <c r="H57" s="144" t="str">
        <f t="shared" si="15"/>
        <v xml:space="preserve"> </v>
      </c>
      <c r="I57" s="143" t="str">
        <f>'3ER TRIMESTRE'!BM58</f>
        <v/>
      </c>
      <c r="J57" s="144" t="str">
        <f t="shared" si="16"/>
        <v xml:space="preserve"> </v>
      </c>
      <c r="K57" s="145"/>
      <c r="L57" s="146" t="str">
        <f t="shared" si="17"/>
        <v/>
      </c>
      <c r="M57" s="570" t="str">
        <f>IF(L57="","",VLOOKUP(L57,$S$80:T$179,2))</f>
        <v/>
      </c>
      <c r="N57" s="571"/>
      <c r="O57" s="147" t="str">
        <f t="shared" si="18"/>
        <v xml:space="preserve"> </v>
      </c>
      <c r="P57" s="301"/>
      <c r="Q57" s="305" t="str">
        <f t="shared" si="19"/>
        <v/>
      </c>
      <c r="R57" s="441" t="str">
        <f>FILIACIÓN!Y56</f>
        <v/>
      </c>
      <c r="S57" s="26" t="str">
        <f>IF(FILIACIÓN!Z56="MOSTRAR","1","")</f>
        <v/>
      </c>
      <c r="T57" s="43" t="str">
        <f>FILIACIÓN!AL56</f>
        <v/>
      </c>
      <c r="U57" s="43" t="str">
        <f t="shared" si="20"/>
        <v/>
      </c>
      <c r="V57" s="43" t="str">
        <f t="shared" si="21"/>
        <v/>
      </c>
      <c r="W57" s="43">
        <f t="shared" si="22"/>
        <v>1</v>
      </c>
      <c r="X57" s="43"/>
      <c r="Y57" s="43"/>
      <c r="Z57" s="43">
        <v>46</v>
      </c>
      <c r="AA57" s="25"/>
      <c r="AB57" s="25" t="str">
        <f t="shared" si="9"/>
        <v/>
      </c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HR57" s="378"/>
      <c r="HS57" s="378"/>
      <c r="HT57" s="378"/>
      <c r="HU57" s="378"/>
      <c r="HV57" s="378"/>
      <c r="HW57" s="378"/>
      <c r="HX57" s="378"/>
      <c r="HY57" s="378"/>
      <c r="HZ57" s="378"/>
      <c r="IA57" s="378"/>
      <c r="IB57" s="378"/>
      <c r="IC57" s="378"/>
      <c r="ID57" s="378"/>
      <c r="IE57" s="378"/>
      <c r="IF57" s="378"/>
      <c r="IG57" s="378"/>
    </row>
    <row r="58" spans="1:241" s="511" customFormat="1" ht="23.1" hidden="1" customHeight="1">
      <c r="A58" s="140">
        <f>--SUBTOTAL(2,Z$11:Z58)</f>
        <v>47</v>
      </c>
      <c r="B58" s="587" t="str">
        <f>IF(FILIACIÓN!B57="","",UPPER(FILIACIÓN!B57))</f>
        <v/>
      </c>
      <c r="C58" s="588"/>
      <c r="D58" s="589"/>
      <c r="E58" s="141" t="str">
        <f>'1ER TRIMESTRE'!BM59</f>
        <v/>
      </c>
      <c r="F58" s="142" t="str">
        <f t="shared" si="14"/>
        <v xml:space="preserve"> </v>
      </c>
      <c r="G58" s="143" t="str">
        <f>'2DO TRIMESTRE'!BM59</f>
        <v/>
      </c>
      <c r="H58" s="144" t="str">
        <f t="shared" si="15"/>
        <v xml:space="preserve"> </v>
      </c>
      <c r="I58" s="143" t="str">
        <f>'3ER TRIMESTRE'!BM59</f>
        <v/>
      </c>
      <c r="J58" s="144" t="str">
        <f t="shared" si="16"/>
        <v xml:space="preserve"> </v>
      </c>
      <c r="K58" s="145"/>
      <c r="L58" s="146" t="str">
        <f t="shared" si="17"/>
        <v/>
      </c>
      <c r="M58" s="570" t="str">
        <f>IF(L58="","",VLOOKUP(L58,$S$80:T$179,2))</f>
        <v/>
      </c>
      <c r="N58" s="571"/>
      <c r="O58" s="147" t="str">
        <f t="shared" si="18"/>
        <v xml:space="preserve"> </v>
      </c>
      <c r="P58" s="301"/>
      <c r="Q58" s="305" t="str">
        <f t="shared" si="19"/>
        <v/>
      </c>
      <c r="R58" s="441" t="str">
        <f>FILIACIÓN!Y57</f>
        <v/>
      </c>
      <c r="S58" s="26" t="str">
        <f>IF(FILIACIÓN!Z57="MOSTRAR","1","")</f>
        <v/>
      </c>
      <c r="T58" s="43" t="str">
        <f>FILIACIÓN!AL57</f>
        <v/>
      </c>
      <c r="U58" s="43" t="str">
        <f t="shared" si="20"/>
        <v/>
      </c>
      <c r="V58" s="43" t="str">
        <f t="shared" si="21"/>
        <v/>
      </c>
      <c r="W58" s="43">
        <f t="shared" si="22"/>
        <v>1</v>
      </c>
      <c r="X58" s="43"/>
      <c r="Y58" s="43"/>
      <c r="Z58" s="43">
        <v>47</v>
      </c>
      <c r="AA58" s="25"/>
      <c r="AB58" s="25" t="str">
        <f t="shared" si="9"/>
        <v/>
      </c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HR58" s="378"/>
      <c r="HS58" s="378"/>
      <c r="HT58" s="378"/>
      <c r="HU58" s="378"/>
      <c r="HV58" s="378"/>
      <c r="HW58" s="378"/>
      <c r="HX58" s="378"/>
      <c r="HY58" s="378"/>
      <c r="HZ58" s="378"/>
      <c r="IA58" s="378"/>
      <c r="IB58" s="378"/>
      <c r="IC58" s="378"/>
      <c r="ID58" s="378"/>
      <c r="IE58" s="378"/>
      <c r="IF58" s="378"/>
      <c r="IG58" s="378"/>
    </row>
    <row r="59" spans="1:241" s="511" customFormat="1" ht="23.1" hidden="1" customHeight="1">
      <c r="A59" s="140">
        <f>--SUBTOTAL(2,Z$11:Z59)</f>
        <v>48</v>
      </c>
      <c r="B59" s="587" t="str">
        <f>IF(FILIACIÓN!B58="","",UPPER(FILIACIÓN!B58))</f>
        <v/>
      </c>
      <c r="C59" s="588"/>
      <c r="D59" s="589"/>
      <c r="E59" s="141" t="str">
        <f>'1ER TRIMESTRE'!BM60</f>
        <v/>
      </c>
      <c r="F59" s="142" t="str">
        <f t="shared" si="14"/>
        <v xml:space="preserve"> </v>
      </c>
      <c r="G59" s="143" t="str">
        <f>'2DO TRIMESTRE'!BM60</f>
        <v/>
      </c>
      <c r="H59" s="144" t="str">
        <f t="shared" si="15"/>
        <v xml:space="preserve"> </v>
      </c>
      <c r="I59" s="143" t="str">
        <f>'3ER TRIMESTRE'!BM60</f>
        <v/>
      </c>
      <c r="J59" s="144" t="str">
        <f t="shared" si="16"/>
        <v xml:space="preserve"> </v>
      </c>
      <c r="K59" s="145"/>
      <c r="L59" s="146" t="str">
        <f t="shared" si="17"/>
        <v/>
      </c>
      <c r="M59" s="570" t="str">
        <f>IF(L59="","",VLOOKUP(L59,$S$80:T$179,2))</f>
        <v/>
      </c>
      <c r="N59" s="571"/>
      <c r="O59" s="147" t="str">
        <f t="shared" si="18"/>
        <v xml:space="preserve"> </v>
      </c>
      <c r="P59" s="301"/>
      <c r="Q59" s="305" t="str">
        <f t="shared" si="19"/>
        <v/>
      </c>
      <c r="R59" s="441" t="str">
        <f>FILIACIÓN!Y58</f>
        <v/>
      </c>
      <c r="S59" s="26" t="str">
        <f>IF(FILIACIÓN!Z58="MOSTRAR","1","")</f>
        <v/>
      </c>
      <c r="T59" s="43" t="str">
        <f>FILIACIÓN!AL58</f>
        <v/>
      </c>
      <c r="U59" s="43" t="str">
        <f t="shared" si="20"/>
        <v/>
      </c>
      <c r="V59" s="43" t="str">
        <f t="shared" si="21"/>
        <v/>
      </c>
      <c r="W59" s="43">
        <f t="shared" si="22"/>
        <v>1</v>
      </c>
      <c r="X59" s="43"/>
      <c r="Y59" s="43"/>
      <c r="Z59" s="43">
        <v>48</v>
      </c>
      <c r="AA59" s="25"/>
      <c r="AB59" s="25" t="str">
        <f t="shared" si="9"/>
        <v/>
      </c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HR59" s="378"/>
      <c r="HS59" s="378"/>
      <c r="HT59" s="378"/>
      <c r="HU59" s="378"/>
      <c r="HV59" s="378"/>
      <c r="HW59" s="378"/>
      <c r="HX59" s="378"/>
      <c r="HY59" s="378"/>
      <c r="HZ59" s="378"/>
      <c r="IA59" s="378"/>
      <c r="IB59" s="378"/>
      <c r="IC59" s="378"/>
      <c r="ID59" s="378"/>
      <c r="IE59" s="378"/>
      <c r="IF59" s="378"/>
      <c r="IG59" s="378"/>
    </row>
    <row r="60" spans="1:241" s="1" customFormat="1" ht="23.1" hidden="1" customHeight="1">
      <c r="A60" s="140">
        <f>--SUBTOTAL(2,Z$11:Z60)</f>
        <v>49</v>
      </c>
      <c r="B60" s="587" t="str">
        <f>IF(FILIACIÓN!B59="","",UPPER(FILIACIÓN!B59))</f>
        <v/>
      </c>
      <c r="C60" s="588"/>
      <c r="D60" s="589"/>
      <c r="E60" s="141" t="str">
        <f>'1ER TRIMESTRE'!BM61</f>
        <v/>
      </c>
      <c r="F60" s="142" t="str">
        <f t="shared" si="5"/>
        <v xml:space="preserve"> </v>
      </c>
      <c r="G60" s="143" t="str">
        <f>'2DO TRIMESTRE'!BM61</f>
        <v/>
      </c>
      <c r="H60" s="144" t="str">
        <f t="shared" si="0"/>
        <v xml:space="preserve"> </v>
      </c>
      <c r="I60" s="143" t="str">
        <f>'3ER TRIMESTRE'!BM61</f>
        <v/>
      </c>
      <c r="J60" s="144" t="str">
        <f t="shared" si="1"/>
        <v xml:space="preserve"> </v>
      </c>
      <c r="K60" s="145"/>
      <c r="L60" s="146" t="str">
        <f t="shared" si="6"/>
        <v/>
      </c>
      <c r="M60" s="570" t="str">
        <f>IF(L60="","",VLOOKUP(L60,$S$80:T$179,2))</f>
        <v/>
      </c>
      <c r="N60" s="571"/>
      <c r="O60" s="147" t="str">
        <f t="shared" si="10"/>
        <v xml:space="preserve"> </v>
      </c>
      <c r="P60" s="301"/>
      <c r="Q60" s="305" t="str">
        <f t="shared" si="7"/>
        <v/>
      </c>
      <c r="R60" s="441" t="str">
        <f>FILIACIÓN!Y59</f>
        <v/>
      </c>
      <c r="S60" s="26" t="str">
        <f>IF(FILIACIÓN!Z59="MOSTRAR","1","")</f>
        <v/>
      </c>
      <c r="T60" s="43" t="str">
        <f>FILIACIÓN!AL59</f>
        <v/>
      </c>
      <c r="U60" s="43" t="str">
        <f t="shared" si="11"/>
        <v/>
      </c>
      <c r="V60" s="43" t="str">
        <f t="shared" si="12"/>
        <v/>
      </c>
      <c r="W60" s="43">
        <f t="shared" si="13"/>
        <v>1</v>
      </c>
      <c r="X60" s="43"/>
      <c r="Y60" s="43"/>
      <c r="Z60" s="43">
        <v>49</v>
      </c>
      <c r="AA60" s="25"/>
      <c r="AB60" s="25" t="str">
        <f t="shared" si="9"/>
        <v/>
      </c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</row>
    <row r="61" spans="1:241" s="1" customFormat="1" ht="23.1" hidden="1" customHeight="1" thickBot="1">
      <c r="A61" s="148">
        <f>--SUBTOTAL(2,Z$11:Z61)</f>
        <v>50</v>
      </c>
      <c r="B61" s="592" t="str">
        <f>IF(FILIACIÓN!B60="","",UPPER(FILIACIÓN!B60))</f>
        <v/>
      </c>
      <c r="C61" s="593"/>
      <c r="D61" s="594"/>
      <c r="E61" s="149" t="str">
        <f>'1ER TRIMESTRE'!BM62</f>
        <v/>
      </c>
      <c r="F61" s="150" t="str">
        <f t="shared" ref="F61" si="23">IF(AND(E61&gt;=1,E61&lt;=50),"ED",IF(AND(E61&gt;=51,E61&lt;=68),"DA",IF(AND(E61&gt;=69,E61&lt;=84),"DO",IF(AND(E61&gt;=85,E61&lt;=100),"DP"," "))))</f>
        <v xml:space="preserve"> </v>
      </c>
      <c r="G61" s="151" t="str">
        <f>'2DO TRIMESTRE'!BM62</f>
        <v/>
      </c>
      <c r="H61" s="152" t="str">
        <f t="shared" ref="H61" si="24">IF(AND(G61&gt;=1,G61&lt;=50),"ED",IF(AND(G61&gt;=51,G61&lt;=68),"DA",IF(AND(G61&gt;=69,G61&lt;=84),"DO",IF(AND(G61&gt;=85,G61&lt;=100),"DP"," "))))</f>
        <v xml:space="preserve"> </v>
      </c>
      <c r="I61" s="151" t="str">
        <f>'3ER TRIMESTRE'!BM62</f>
        <v/>
      </c>
      <c r="J61" s="152" t="str">
        <f t="shared" ref="J61" si="25">IF(AND(I61&gt;=1,I61&lt;=50),"ED",IF(AND(I61&gt;=51,I61&lt;=68),"DA",IF(AND(I61&gt;=69,I61&lt;=84),"DO",IF(AND(I61&gt;=85,I61&lt;=100),"DP"," "))))</f>
        <v xml:space="preserve"> </v>
      </c>
      <c r="K61" s="145"/>
      <c r="L61" s="153" t="str">
        <f t="shared" si="6"/>
        <v/>
      </c>
      <c r="M61" s="605" t="str">
        <f>IF(L61="","",VLOOKUP(L61,$S$80:T$179,2))</f>
        <v/>
      </c>
      <c r="N61" s="606"/>
      <c r="O61" s="154" t="str">
        <f t="shared" si="10"/>
        <v xml:space="preserve"> </v>
      </c>
      <c r="P61" s="301"/>
      <c r="Q61" s="306" t="str">
        <f t="shared" si="7"/>
        <v/>
      </c>
      <c r="R61" s="441" t="str">
        <f>FILIACIÓN!Y60</f>
        <v/>
      </c>
      <c r="S61" s="26" t="str">
        <f>IF(FILIACIÓN!Z60="MOSTRAR","1","")</f>
        <v/>
      </c>
      <c r="T61" s="43" t="str">
        <f>FILIACIÓN!AL60</f>
        <v/>
      </c>
      <c r="U61" s="43" t="str">
        <f t="shared" si="11"/>
        <v/>
      </c>
      <c r="V61" s="43" t="str">
        <f t="shared" si="12"/>
        <v/>
      </c>
      <c r="W61" s="43">
        <f t="shared" si="13"/>
        <v>1</v>
      </c>
      <c r="X61" s="43"/>
      <c r="Y61" s="43"/>
      <c r="Z61" s="43">
        <v>50</v>
      </c>
      <c r="AA61" s="25"/>
      <c r="AB61" s="25" t="str">
        <f t="shared" si="9"/>
        <v/>
      </c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</row>
    <row r="62" spans="1:241" ht="17.25" customHeight="1">
      <c r="A62" s="76"/>
      <c r="B62" s="6"/>
      <c r="C62" s="6"/>
      <c r="D62" s="6"/>
      <c r="E62" s="6"/>
      <c r="F62" s="6"/>
      <c r="G62" s="6"/>
      <c r="H62" s="6"/>
      <c r="I62" s="6"/>
      <c r="J62" s="6"/>
      <c r="T62" s="43">
        <f>SUM(T12:T61)</f>
        <v>0</v>
      </c>
      <c r="U62" s="43">
        <f>SUM(U12:U61)</f>
        <v>0</v>
      </c>
      <c r="V62" s="43">
        <f>SUM(V12:V61)</f>
        <v>0</v>
      </c>
      <c r="W62" s="43">
        <f>SUM(W12:W61)</f>
        <v>50</v>
      </c>
    </row>
    <row r="63" spans="1:241" ht="15" customHeight="1">
      <c r="N63" s="222"/>
      <c r="O63" s="50"/>
      <c r="P63" s="50"/>
      <c r="Q63" s="50"/>
      <c r="V63" s="43">
        <f>COUNT(A12:A61)</f>
        <v>50</v>
      </c>
    </row>
    <row r="64" spans="1:241" ht="15" customHeight="1">
      <c r="N64" s="266"/>
      <c r="O64" s="51"/>
      <c r="P64" s="51"/>
      <c r="Q64" s="51"/>
      <c r="V64" s="43">
        <f>V63-W62</f>
        <v>0</v>
      </c>
    </row>
    <row r="65" spans="1:225" ht="1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2"/>
      <c r="V65" s="43">
        <f>V64-U62</f>
        <v>0</v>
      </c>
      <c r="W65" s="68"/>
      <c r="X65" s="68"/>
      <c r="Y65" s="68"/>
      <c r="Z65" s="68"/>
      <c r="AA65" s="68"/>
      <c r="AB65" s="68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</row>
    <row r="66" spans="1:225" ht="15" customHeight="1">
      <c r="A66" s="3"/>
      <c r="B66" s="3"/>
      <c r="C66" s="572" t="s">
        <v>250</v>
      </c>
      <c r="D66" s="572"/>
      <c r="E66" s="309"/>
      <c r="F66" s="309"/>
      <c r="G66" s="309"/>
      <c r="H66" s="309"/>
      <c r="I66" s="217"/>
      <c r="J66" s="217"/>
      <c r="K66" s="217"/>
      <c r="L66" s="573" t="s">
        <v>251</v>
      </c>
      <c r="M66" s="573"/>
      <c r="N66" s="573"/>
      <c r="O66" s="573"/>
      <c r="P66" s="573"/>
      <c r="Q66" s="49"/>
      <c r="W66" s="68"/>
      <c r="X66" s="68"/>
      <c r="Y66" s="68"/>
      <c r="Z66" s="68"/>
      <c r="AA66" s="68"/>
      <c r="AB66" s="68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</row>
    <row r="67" spans="1:225" ht="15" customHeight="1">
      <c r="A67" s="3"/>
      <c r="B67" s="3"/>
      <c r="C67" s="3"/>
      <c r="N67" s="49"/>
      <c r="O67" s="49"/>
      <c r="P67" s="49"/>
      <c r="Q67" s="49"/>
      <c r="W67" s="68"/>
      <c r="X67" s="68"/>
      <c r="Y67" s="68"/>
      <c r="Z67" s="68"/>
      <c r="AA67" s="68"/>
      <c r="AB67" s="68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</row>
    <row r="68" spans="1:225" ht="7.5" customHeight="1">
      <c r="A68" s="3"/>
      <c r="B68" s="3"/>
      <c r="C68" s="3"/>
      <c r="N68" s="195"/>
      <c r="O68" s="6"/>
      <c r="P68" s="6"/>
      <c r="Q68" s="6"/>
      <c r="W68" s="68"/>
      <c r="X68" s="68"/>
      <c r="Y68" s="68"/>
      <c r="Z68" s="68"/>
      <c r="AA68" s="68"/>
      <c r="AB68" s="68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</row>
    <row r="69" spans="1:225" ht="15" customHeight="1">
      <c r="A69" s="3"/>
      <c r="B69" s="3"/>
      <c r="C69" s="3"/>
      <c r="N69" s="49"/>
      <c r="O69" s="49"/>
      <c r="P69" s="49"/>
      <c r="Q69" s="49"/>
      <c r="W69" s="68"/>
      <c r="X69" s="68"/>
      <c r="Y69" s="68"/>
      <c r="Z69" s="68"/>
      <c r="AA69" s="68"/>
      <c r="AB69" s="68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</row>
    <row r="70" spans="1:225" ht="15" customHeight="1">
      <c r="A70" s="3"/>
      <c r="B70" s="3"/>
      <c r="C70" s="3"/>
      <c r="N70" s="49"/>
      <c r="O70" s="49"/>
      <c r="P70" s="49"/>
      <c r="Q70" s="49"/>
      <c r="W70" s="68"/>
      <c r="X70" s="68"/>
      <c r="Y70" s="68"/>
      <c r="Z70" s="68"/>
      <c r="AA70" s="68"/>
      <c r="AB70" s="68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</row>
    <row r="71" spans="1:225" ht="15" customHeight="1">
      <c r="A71" s="3"/>
      <c r="B71" s="3"/>
      <c r="C71" s="3"/>
      <c r="N71" s="52"/>
      <c r="O71" s="52"/>
      <c r="P71" s="52"/>
      <c r="Q71" s="52"/>
      <c r="W71" s="68"/>
      <c r="X71" s="68"/>
      <c r="Y71" s="68"/>
      <c r="Z71" s="68"/>
      <c r="AA71" s="68"/>
      <c r="AB71" s="68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</row>
    <row r="72" spans="1:225" ht="15" customHeight="1" thickBot="1">
      <c r="A72" s="3"/>
      <c r="B72" s="3"/>
      <c r="C72" s="3"/>
      <c r="E72" s="6"/>
      <c r="F72" s="6"/>
      <c r="M72" s="6"/>
      <c r="N72" s="6"/>
      <c r="O72" s="6"/>
      <c r="P72" s="6"/>
      <c r="Q72" s="6"/>
      <c r="W72" s="68"/>
      <c r="X72" s="68"/>
      <c r="Y72" s="68"/>
      <c r="Z72" s="68"/>
      <c r="AA72" s="68"/>
      <c r="AB72" s="68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</row>
    <row r="73" spans="1:225" ht="15" customHeight="1" thickBot="1">
      <c r="A73" s="3"/>
      <c r="B73" s="3"/>
      <c r="C73" s="3"/>
      <c r="D73" s="347"/>
      <c r="E73" s="603" t="s">
        <v>231</v>
      </c>
      <c r="F73" s="604"/>
      <c r="G73" s="604"/>
      <c r="H73" s="604"/>
      <c r="I73" s="604"/>
      <c r="J73" s="604"/>
      <c r="K73" s="353"/>
      <c r="L73" s="559" t="s">
        <v>181</v>
      </c>
      <c r="M73" s="561"/>
      <c r="W73" s="68"/>
      <c r="X73" s="68"/>
      <c r="Y73" s="68"/>
      <c r="Z73" s="68"/>
      <c r="AA73" s="68"/>
      <c r="AB73" s="68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</row>
    <row r="74" spans="1:225" ht="15" customHeight="1" thickBot="1">
      <c r="D74" s="347"/>
      <c r="E74" s="374" t="s">
        <v>272</v>
      </c>
      <c r="F74" s="375" t="s">
        <v>20</v>
      </c>
      <c r="G74" s="374" t="s">
        <v>272</v>
      </c>
      <c r="H74" s="375" t="s">
        <v>20</v>
      </c>
      <c r="I74" s="374" t="s">
        <v>272</v>
      </c>
      <c r="J74" s="375" t="s">
        <v>20</v>
      </c>
      <c r="K74" s="350"/>
      <c r="L74" s="354" t="s">
        <v>272</v>
      </c>
      <c r="M74" s="355" t="s">
        <v>20</v>
      </c>
    </row>
    <row r="75" spans="1:225" ht="15" customHeight="1">
      <c r="D75" s="356" t="s">
        <v>18</v>
      </c>
      <c r="E75" s="380">
        <f>COUNTIF(E12:E61,"&gt;=51")</f>
        <v>0</v>
      </c>
      <c r="F75" s="385" t="e">
        <f t="shared" ref="F75:F76" si="26">(100*E75)/$E$82</f>
        <v>#DIV/0!</v>
      </c>
      <c r="G75" s="380">
        <f>COUNTIF(G12:G61,"&gt;=51")</f>
        <v>0</v>
      </c>
      <c r="H75" s="385" t="e">
        <f t="shared" ref="H75:H76" si="27">(100*G75)/$E$82</f>
        <v>#DIV/0!</v>
      </c>
      <c r="I75" s="380">
        <f>COUNTIF(I12:I61,"&gt;=51")</f>
        <v>0</v>
      </c>
      <c r="J75" s="385" t="e">
        <f t="shared" ref="J75:J76" si="28">(100*I75)/$E$82</f>
        <v>#DIV/0!</v>
      </c>
      <c r="K75" s="369"/>
      <c r="L75" s="368">
        <f>COUNTIF(L12:L61,"&gt;=51")</f>
        <v>0</v>
      </c>
      <c r="M75" s="376" t="e">
        <f t="shared" ref="M75:M76" si="29">(100*L75)/$E$82</f>
        <v>#DIV/0!</v>
      </c>
    </row>
    <row r="76" spans="1:225" ht="15" customHeight="1" thickBot="1">
      <c r="D76" s="357" t="s">
        <v>19</v>
      </c>
      <c r="E76" s="381">
        <f>COUNTIF(E12:E61,"&lt;=50")</f>
        <v>0</v>
      </c>
      <c r="F76" s="386" t="e">
        <f t="shared" si="26"/>
        <v>#DIV/0!</v>
      </c>
      <c r="G76" s="381">
        <f>COUNTIF(G12:G61,"&lt;=50")</f>
        <v>0</v>
      </c>
      <c r="H76" s="386" t="e">
        <f t="shared" si="27"/>
        <v>#DIV/0!</v>
      </c>
      <c r="I76" s="381">
        <f>COUNTIF(I12:I61,"&lt;=50")</f>
        <v>0</v>
      </c>
      <c r="J76" s="386" t="e">
        <f t="shared" si="28"/>
        <v>#DIV/0!</v>
      </c>
      <c r="K76" s="371"/>
      <c r="L76" s="370">
        <f>COUNTIF(L12:L61,"&lt;=50")</f>
        <v>0</v>
      </c>
      <c r="M76" s="377" t="e">
        <f t="shared" si="29"/>
        <v>#DIV/0!</v>
      </c>
    </row>
    <row r="77" spans="1:225" ht="15" customHeight="1" thickBot="1">
      <c r="D77" s="347"/>
      <c r="E77" s="347"/>
      <c r="F77" s="347"/>
      <c r="G77" s="347"/>
      <c r="H77" s="347"/>
      <c r="I77" s="347"/>
      <c r="J77" s="347"/>
      <c r="K77" s="347"/>
      <c r="L77" s="347"/>
      <c r="M77" s="347"/>
    </row>
    <row r="78" spans="1:225" ht="15" customHeight="1" thickBot="1">
      <c r="D78" s="347"/>
      <c r="E78" s="559" t="s">
        <v>181</v>
      </c>
      <c r="F78" s="561"/>
      <c r="G78" s="363"/>
      <c r="H78" s="360"/>
      <c r="I78" s="363"/>
      <c r="J78" s="360"/>
      <c r="K78" s="351"/>
      <c r="L78" s="347"/>
      <c r="M78" s="348"/>
    </row>
    <row r="79" spans="1:225" ht="15" customHeight="1" thickBot="1">
      <c r="D79" s="347"/>
      <c r="E79" s="354" t="s">
        <v>272</v>
      </c>
      <c r="F79" s="355" t="s">
        <v>20</v>
      </c>
      <c r="G79" s="349"/>
      <c r="H79" s="349"/>
      <c r="I79" s="349"/>
      <c r="J79" s="349"/>
      <c r="K79" s="352"/>
      <c r="L79" s="347"/>
      <c r="M79" s="347"/>
    </row>
    <row r="80" spans="1:225" ht="15" customHeight="1">
      <c r="A80" s="3"/>
      <c r="B80" s="3"/>
      <c r="C80" s="3"/>
      <c r="D80" s="366" t="s">
        <v>12</v>
      </c>
      <c r="E80" s="372">
        <f>COUNTIF(S12:S61,"1")</f>
        <v>0</v>
      </c>
      <c r="F80" s="373" t="e">
        <f>(100*E80)/$E$82</f>
        <v>#DIV/0!</v>
      </c>
      <c r="G80" s="365"/>
      <c r="H80" s="362"/>
      <c r="I80" s="365"/>
      <c r="J80" s="362"/>
      <c r="K80" s="352"/>
      <c r="L80" s="347"/>
      <c r="M80" s="347"/>
      <c r="S80" s="538">
        <v>1</v>
      </c>
      <c r="T80" s="538" t="s">
        <v>30</v>
      </c>
      <c r="W80" s="68"/>
      <c r="X80" s="68"/>
      <c r="Y80" s="68"/>
      <c r="Z80" s="68"/>
      <c r="AA80" s="68"/>
      <c r="AB80" s="68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</row>
    <row r="81" spans="1:225" ht="15" customHeight="1" thickBot="1">
      <c r="A81" s="3"/>
      <c r="B81" s="3"/>
      <c r="C81" s="3"/>
      <c r="D81" s="367" t="s">
        <v>13</v>
      </c>
      <c r="E81" s="379">
        <f>COUNTIF(R12:R61,"RETIRADO")</f>
        <v>0</v>
      </c>
      <c r="F81" s="382" t="e">
        <f>(100*E81)/$E$82</f>
        <v>#DIV/0!</v>
      </c>
      <c r="G81" s="359"/>
      <c r="H81" s="359"/>
      <c r="I81" s="359"/>
      <c r="J81" s="359"/>
      <c r="K81" s="364"/>
      <c r="L81" s="361"/>
      <c r="M81" s="360"/>
      <c r="N81" s="3"/>
      <c r="O81" s="3"/>
      <c r="P81" s="3"/>
      <c r="Q81" s="3"/>
      <c r="R81" s="68"/>
      <c r="S81" s="538">
        <v>2</v>
      </c>
      <c r="T81" s="538" t="s">
        <v>31</v>
      </c>
      <c r="U81" s="68"/>
      <c r="V81" s="68"/>
      <c r="W81" s="68"/>
      <c r="X81" s="68"/>
      <c r="Y81" s="68"/>
      <c r="Z81" s="68"/>
      <c r="AA81" s="68"/>
      <c r="AB81" s="68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</row>
    <row r="82" spans="1:225" ht="15" customHeight="1" thickBot="1">
      <c r="A82" s="3"/>
      <c r="B82" s="3"/>
      <c r="C82" s="3"/>
      <c r="D82" s="358" t="s">
        <v>14</v>
      </c>
      <c r="E82" s="383">
        <f>SUM(E80:E81)</f>
        <v>0</v>
      </c>
      <c r="F82" s="384" t="e">
        <f>(100*E82)/$E$82</f>
        <v>#DIV/0!</v>
      </c>
      <c r="G82" s="359"/>
      <c r="H82" s="359"/>
      <c r="I82" s="359"/>
      <c r="J82" s="359"/>
      <c r="K82" s="349"/>
      <c r="L82" s="349"/>
      <c r="M82" s="349"/>
      <c r="N82" s="3"/>
      <c r="O82" s="3"/>
      <c r="P82" s="3"/>
      <c r="Q82" s="3"/>
      <c r="R82" s="68"/>
      <c r="S82" s="538">
        <v>3</v>
      </c>
      <c r="T82" s="538" t="s">
        <v>32</v>
      </c>
      <c r="U82" s="68"/>
      <c r="V82" s="68"/>
      <c r="W82" s="68"/>
      <c r="X82" s="68"/>
      <c r="Y82" s="68"/>
      <c r="Z82" s="68"/>
      <c r="AA82" s="68"/>
      <c r="AB82" s="68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</row>
    <row r="83" spans="1:225" ht="15" customHeight="1">
      <c r="A83" s="3"/>
      <c r="B83" s="3"/>
      <c r="C83" s="3"/>
      <c r="D83" s="3"/>
      <c r="E83" s="378"/>
      <c r="F83" s="378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68"/>
      <c r="S83" s="538">
        <v>4</v>
      </c>
      <c r="T83" s="538" t="s">
        <v>33</v>
      </c>
      <c r="U83" s="68"/>
      <c r="V83" s="68"/>
      <c r="W83" s="68"/>
      <c r="X83" s="68"/>
      <c r="Y83" s="68"/>
      <c r="Z83" s="68"/>
      <c r="AA83" s="68"/>
      <c r="AB83" s="68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</row>
    <row r="84" spans="1:225" ht="15" customHeight="1">
      <c r="A84" s="3"/>
      <c r="B84" s="3"/>
      <c r="Q84" s="3"/>
      <c r="R84" s="68"/>
      <c r="S84" s="538">
        <v>5</v>
      </c>
      <c r="T84" s="538" t="s">
        <v>34</v>
      </c>
      <c r="U84" s="68"/>
      <c r="V84" s="68"/>
      <c r="W84" s="68"/>
      <c r="X84" s="68"/>
      <c r="Y84" s="68"/>
      <c r="Z84" s="68"/>
      <c r="AA84" s="68"/>
      <c r="AB84" s="68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</row>
    <row r="85" spans="1:225" ht="15" customHeight="1">
      <c r="A85" s="210"/>
      <c r="B85" s="217"/>
      <c r="Q85" s="310"/>
      <c r="R85" s="317"/>
      <c r="S85" s="538">
        <v>6</v>
      </c>
      <c r="T85" s="538" t="s">
        <v>35</v>
      </c>
      <c r="U85" s="68"/>
      <c r="V85" s="68"/>
      <c r="W85" s="68"/>
      <c r="X85" s="68"/>
      <c r="Y85" s="68"/>
      <c r="Z85" s="68"/>
      <c r="AA85" s="68"/>
      <c r="AB85" s="68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</row>
    <row r="86" spans="1:225" ht="1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68"/>
      <c r="S86" s="538">
        <v>7</v>
      </c>
      <c r="T86" s="538" t="s">
        <v>36</v>
      </c>
      <c r="U86" s="68"/>
      <c r="V86" s="68"/>
      <c r="W86" s="68"/>
      <c r="X86" s="68"/>
      <c r="Y86" s="68"/>
      <c r="Z86" s="68"/>
      <c r="AA86" s="68"/>
      <c r="AB86" s="68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</row>
    <row r="87" spans="1:225" ht="1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68"/>
      <c r="S87" s="538">
        <v>8</v>
      </c>
      <c r="T87" s="538" t="s">
        <v>37</v>
      </c>
      <c r="U87" s="68"/>
      <c r="V87" s="68"/>
      <c r="W87" s="68"/>
      <c r="X87" s="68"/>
      <c r="Y87" s="68"/>
      <c r="Z87" s="68"/>
      <c r="AA87" s="68"/>
      <c r="AB87" s="68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</row>
    <row r="88" spans="1:225" ht="1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68"/>
      <c r="S88" s="538">
        <v>9</v>
      </c>
      <c r="T88" s="538" t="s">
        <v>38</v>
      </c>
      <c r="U88" s="68"/>
      <c r="V88" s="68"/>
      <c r="W88" s="68"/>
      <c r="X88" s="68"/>
      <c r="Y88" s="68"/>
      <c r="Z88" s="68"/>
      <c r="AA88" s="68"/>
      <c r="AB88" s="68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</row>
    <row r="89" spans="1:225" ht="1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68"/>
      <c r="S89" s="538">
        <v>10</v>
      </c>
      <c r="T89" s="538" t="s">
        <v>39</v>
      </c>
      <c r="U89" s="68"/>
      <c r="V89" s="68"/>
      <c r="W89" s="68"/>
      <c r="X89" s="68"/>
      <c r="Y89" s="68"/>
      <c r="Z89" s="68"/>
      <c r="AA89" s="68"/>
      <c r="AB89" s="68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</row>
    <row r="90" spans="1:225" ht="1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68"/>
      <c r="S90" s="538">
        <v>11</v>
      </c>
      <c r="T90" s="538" t="s">
        <v>40</v>
      </c>
      <c r="U90" s="68"/>
      <c r="V90" s="68"/>
      <c r="W90" s="68"/>
      <c r="X90" s="68"/>
      <c r="Y90" s="68"/>
      <c r="Z90" s="68"/>
      <c r="AA90" s="68"/>
      <c r="AB90" s="68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</row>
    <row r="91" spans="1:225" ht="1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68"/>
      <c r="S91" s="538">
        <v>12</v>
      </c>
      <c r="T91" s="538" t="s">
        <v>41</v>
      </c>
      <c r="U91" s="68"/>
      <c r="V91" s="68"/>
      <c r="W91" s="68"/>
      <c r="X91" s="68"/>
      <c r="Y91" s="68"/>
      <c r="Z91" s="68"/>
      <c r="AA91" s="68"/>
      <c r="AB91" s="68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</row>
    <row r="92" spans="1:225" ht="1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68"/>
      <c r="S92" s="538">
        <v>13</v>
      </c>
      <c r="T92" s="538" t="s">
        <v>42</v>
      </c>
      <c r="U92" s="68"/>
      <c r="V92" s="68"/>
      <c r="W92" s="68"/>
      <c r="X92" s="68"/>
      <c r="Y92" s="68"/>
      <c r="Z92" s="68"/>
      <c r="AA92" s="68"/>
      <c r="AB92" s="68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</row>
    <row r="93" spans="1:225" ht="1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68"/>
      <c r="S93" s="538">
        <v>14</v>
      </c>
      <c r="T93" s="538" t="s">
        <v>43</v>
      </c>
      <c r="U93" s="68"/>
      <c r="V93" s="68"/>
      <c r="W93" s="68"/>
      <c r="X93" s="68"/>
      <c r="Y93" s="68"/>
      <c r="Z93" s="68"/>
      <c r="AA93" s="68"/>
      <c r="AB93" s="68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</row>
    <row r="94" spans="1:225" ht="1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68"/>
      <c r="S94" s="538">
        <v>15</v>
      </c>
      <c r="T94" s="538" t="s">
        <v>44</v>
      </c>
      <c r="U94" s="68"/>
      <c r="V94" s="68"/>
      <c r="W94" s="68"/>
      <c r="X94" s="68"/>
      <c r="Y94" s="68"/>
      <c r="Z94" s="68"/>
      <c r="AA94" s="68"/>
      <c r="AB94" s="68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</row>
    <row r="95" spans="1:225" ht="1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68"/>
      <c r="S95" s="538">
        <v>16</v>
      </c>
      <c r="T95" s="538" t="s">
        <v>45</v>
      </c>
      <c r="U95" s="68"/>
      <c r="V95" s="68"/>
      <c r="W95" s="68"/>
      <c r="X95" s="68"/>
      <c r="Y95" s="68"/>
      <c r="Z95" s="68"/>
      <c r="AA95" s="68"/>
      <c r="AB95" s="68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</row>
    <row r="96" spans="1:225" ht="1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68"/>
      <c r="S96" s="538">
        <v>17</v>
      </c>
      <c r="T96" s="538" t="s">
        <v>46</v>
      </c>
      <c r="U96" s="68"/>
      <c r="V96" s="68"/>
      <c r="W96" s="68"/>
      <c r="X96" s="68"/>
      <c r="Y96" s="68"/>
      <c r="Z96" s="68"/>
      <c r="AA96" s="68"/>
      <c r="AB96" s="68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</row>
    <row r="97" spans="1:225" ht="1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68"/>
      <c r="S97" s="538">
        <v>18</v>
      </c>
      <c r="T97" s="538" t="s">
        <v>47</v>
      </c>
      <c r="U97" s="68"/>
      <c r="V97" s="68"/>
      <c r="W97" s="68"/>
      <c r="X97" s="68"/>
      <c r="Y97" s="68"/>
      <c r="Z97" s="68"/>
      <c r="AA97" s="68"/>
      <c r="AB97" s="68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</row>
    <row r="98" spans="1:225" ht="1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68"/>
      <c r="S98" s="538">
        <v>19</v>
      </c>
      <c r="T98" s="538" t="s">
        <v>48</v>
      </c>
      <c r="U98" s="68"/>
      <c r="V98" s="68"/>
      <c r="W98" s="68"/>
      <c r="X98" s="68"/>
      <c r="Y98" s="68"/>
      <c r="Z98" s="68"/>
      <c r="AA98" s="68"/>
      <c r="AB98" s="68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</row>
    <row r="99" spans="1:225" ht="1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68"/>
      <c r="S99" s="538">
        <v>20</v>
      </c>
      <c r="T99" s="538" t="s">
        <v>49</v>
      </c>
      <c r="U99" s="68"/>
      <c r="V99" s="68"/>
      <c r="W99" s="68"/>
      <c r="X99" s="68"/>
      <c r="Y99" s="68"/>
      <c r="Z99" s="68"/>
      <c r="AA99" s="68"/>
      <c r="AB99" s="68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</row>
    <row r="100" spans="1:225" ht="1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68"/>
      <c r="S100" s="538">
        <v>21</v>
      </c>
      <c r="T100" s="538" t="s">
        <v>50</v>
      </c>
      <c r="U100" s="68"/>
      <c r="V100" s="68"/>
      <c r="W100" s="68"/>
      <c r="X100" s="68"/>
      <c r="Y100" s="68"/>
      <c r="Z100" s="68"/>
      <c r="AA100" s="68"/>
      <c r="AB100" s="68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</row>
    <row r="101" spans="1:225" ht="1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68"/>
      <c r="S101" s="538">
        <v>22</v>
      </c>
      <c r="T101" s="538" t="s">
        <v>51</v>
      </c>
      <c r="U101" s="68"/>
      <c r="V101" s="68"/>
      <c r="W101" s="68"/>
      <c r="X101" s="68"/>
      <c r="Y101" s="68"/>
      <c r="Z101" s="68"/>
      <c r="AA101" s="68"/>
      <c r="AB101" s="68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</row>
    <row r="102" spans="1:225" ht="1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68"/>
      <c r="S102" s="538">
        <v>23</v>
      </c>
      <c r="T102" s="538" t="s">
        <v>52</v>
      </c>
      <c r="U102" s="68"/>
      <c r="V102" s="68"/>
      <c r="W102" s="68"/>
      <c r="X102" s="68"/>
      <c r="Y102" s="68"/>
      <c r="Z102" s="68"/>
      <c r="AA102" s="68"/>
      <c r="AB102" s="68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</row>
    <row r="103" spans="1:225" ht="1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68"/>
      <c r="S103" s="538">
        <v>24</v>
      </c>
      <c r="T103" s="538" t="s">
        <v>53</v>
      </c>
      <c r="U103" s="68"/>
      <c r="V103" s="68"/>
      <c r="W103" s="68"/>
      <c r="X103" s="68"/>
      <c r="Y103" s="68"/>
      <c r="Z103" s="68"/>
      <c r="AA103" s="68"/>
      <c r="AB103" s="68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</row>
    <row r="104" spans="1:225" ht="1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68"/>
      <c r="S104" s="538">
        <v>25</v>
      </c>
      <c r="T104" s="538" t="s">
        <v>54</v>
      </c>
      <c r="U104" s="68"/>
      <c r="V104" s="68"/>
      <c r="W104" s="68"/>
      <c r="X104" s="68"/>
      <c r="Y104" s="68"/>
      <c r="Z104" s="68"/>
      <c r="AA104" s="68"/>
      <c r="AB104" s="68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</row>
    <row r="105" spans="1:225" ht="1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68"/>
      <c r="S105" s="538">
        <v>26</v>
      </c>
      <c r="T105" s="538" t="s">
        <v>55</v>
      </c>
      <c r="U105" s="68"/>
      <c r="V105" s="68"/>
      <c r="W105" s="68"/>
      <c r="X105" s="68"/>
      <c r="Y105" s="68"/>
      <c r="Z105" s="68"/>
      <c r="AA105" s="68"/>
      <c r="AB105" s="68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</row>
    <row r="106" spans="1:225" ht="1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68"/>
      <c r="S106" s="538">
        <v>27</v>
      </c>
      <c r="T106" s="538" t="s">
        <v>56</v>
      </c>
      <c r="U106" s="68"/>
      <c r="V106" s="68"/>
      <c r="W106" s="68"/>
      <c r="X106" s="68"/>
      <c r="Y106" s="68"/>
      <c r="Z106" s="68"/>
      <c r="AA106" s="68"/>
      <c r="AB106" s="68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</row>
    <row r="107" spans="1:225" ht="1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68"/>
      <c r="S107" s="538">
        <v>28</v>
      </c>
      <c r="T107" s="538" t="s">
        <v>57</v>
      </c>
      <c r="U107" s="68"/>
      <c r="V107" s="68"/>
      <c r="W107" s="68"/>
      <c r="X107" s="68"/>
      <c r="Y107" s="68"/>
      <c r="Z107" s="68"/>
      <c r="AA107" s="68"/>
      <c r="AB107" s="68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</row>
    <row r="108" spans="1:225" ht="1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68"/>
      <c r="S108" s="538">
        <v>29</v>
      </c>
      <c r="T108" s="538" t="s">
        <v>58</v>
      </c>
      <c r="U108" s="68"/>
      <c r="V108" s="68"/>
      <c r="W108" s="68"/>
      <c r="X108" s="68"/>
      <c r="Y108" s="68"/>
      <c r="Z108" s="68"/>
      <c r="AA108" s="68"/>
      <c r="AB108" s="68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</row>
    <row r="109" spans="1:225" ht="1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68"/>
      <c r="S109" s="538">
        <v>30</v>
      </c>
      <c r="T109" s="538" t="s">
        <v>59</v>
      </c>
      <c r="U109" s="68"/>
      <c r="V109" s="68"/>
      <c r="W109" s="68"/>
      <c r="X109" s="68"/>
      <c r="Y109" s="68"/>
      <c r="Z109" s="68"/>
      <c r="AA109" s="68"/>
      <c r="AB109" s="68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</row>
    <row r="110" spans="1:225" ht="1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68"/>
      <c r="S110" s="538">
        <v>31</v>
      </c>
      <c r="T110" s="538" t="s">
        <v>60</v>
      </c>
      <c r="U110" s="68"/>
      <c r="V110" s="68"/>
      <c r="W110" s="68"/>
      <c r="X110" s="68"/>
      <c r="Y110" s="68"/>
      <c r="Z110" s="68"/>
      <c r="AA110" s="68"/>
      <c r="AB110" s="68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</row>
    <row r="111" spans="1:225" ht="1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68"/>
      <c r="S111" s="538">
        <v>32</v>
      </c>
      <c r="T111" s="538" t="s">
        <v>61</v>
      </c>
      <c r="U111" s="68"/>
      <c r="V111" s="68"/>
      <c r="W111" s="68"/>
      <c r="X111" s="68"/>
      <c r="Y111" s="68"/>
      <c r="Z111" s="68"/>
      <c r="AA111" s="68"/>
      <c r="AB111" s="68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</row>
    <row r="112" spans="1:225" ht="1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68"/>
      <c r="S112" s="538">
        <v>33</v>
      </c>
      <c r="T112" s="538" t="s">
        <v>62</v>
      </c>
      <c r="U112" s="68"/>
      <c r="V112" s="68"/>
      <c r="W112" s="68"/>
      <c r="X112" s="68"/>
      <c r="Y112" s="68"/>
      <c r="Z112" s="68"/>
      <c r="AA112" s="68"/>
      <c r="AB112" s="68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</row>
    <row r="113" spans="1:225" ht="1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68"/>
      <c r="S113" s="538">
        <v>34</v>
      </c>
      <c r="T113" s="538" t="s">
        <v>63</v>
      </c>
      <c r="U113" s="68"/>
      <c r="V113" s="68"/>
      <c r="W113" s="68"/>
      <c r="X113" s="68"/>
      <c r="Y113" s="68"/>
      <c r="Z113" s="68"/>
      <c r="AA113" s="68"/>
      <c r="AB113" s="68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</row>
    <row r="114" spans="1:225" ht="1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68"/>
      <c r="S114" s="538">
        <v>35</v>
      </c>
      <c r="T114" s="538" t="s">
        <v>64</v>
      </c>
      <c r="U114" s="68"/>
      <c r="V114" s="68"/>
      <c r="W114" s="68"/>
      <c r="X114" s="68"/>
      <c r="Y114" s="68"/>
      <c r="Z114" s="68"/>
      <c r="AA114" s="68"/>
      <c r="AB114" s="68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</row>
    <row r="115" spans="1:225" ht="1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68"/>
      <c r="S115" s="538">
        <v>36</v>
      </c>
      <c r="T115" s="538" t="s">
        <v>65</v>
      </c>
      <c r="U115" s="68"/>
      <c r="V115" s="68"/>
      <c r="W115" s="68"/>
      <c r="X115" s="68"/>
      <c r="Y115" s="68"/>
      <c r="Z115" s="68"/>
      <c r="AA115" s="68"/>
      <c r="AB115" s="68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</row>
    <row r="116" spans="1:225" ht="1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68"/>
      <c r="S116" s="538">
        <v>37</v>
      </c>
      <c r="T116" s="538" t="s">
        <v>66</v>
      </c>
      <c r="U116" s="68"/>
      <c r="V116" s="68"/>
      <c r="W116" s="68"/>
      <c r="X116" s="68"/>
      <c r="Y116" s="68"/>
      <c r="Z116" s="68"/>
      <c r="AA116" s="68"/>
      <c r="AB116" s="68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</row>
    <row r="117" spans="1:225" ht="1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68"/>
      <c r="S117" s="538">
        <v>38</v>
      </c>
      <c r="T117" s="538" t="s">
        <v>67</v>
      </c>
      <c r="U117" s="68"/>
      <c r="V117" s="68"/>
      <c r="W117" s="68"/>
      <c r="X117" s="68"/>
      <c r="Y117" s="68"/>
      <c r="Z117" s="68"/>
      <c r="AA117" s="68"/>
      <c r="AB117" s="68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</row>
    <row r="118" spans="1:225" ht="1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68"/>
      <c r="S118" s="538">
        <v>39</v>
      </c>
      <c r="T118" s="538" t="s">
        <v>68</v>
      </c>
      <c r="U118" s="68"/>
      <c r="V118" s="68"/>
      <c r="W118" s="68"/>
      <c r="X118" s="68"/>
      <c r="Y118" s="68"/>
      <c r="Z118" s="68"/>
      <c r="AA118" s="68"/>
      <c r="AB118" s="68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</row>
    <row r="119" spans="1:225" ht="1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68"/>
      <c r="S119" s="538">
        <v>40</v>
      </c>
      <c r="T119" s="538" t="s">
        <v>69</v>
      </c>
      <c r="U119" s="68"/>
      <c r="V119" s="68"/>
      <c r="W119" s="68"/>
      <c r="X119" s="68"/>
      <c r="Y119" s="68"/>
      <c r="Z119" s="68"/>
      <c r="AA119" s="68"/>
      <c r="AB119" s="68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</row>
    <row r="120" spans="1:225" ht="1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68"/>
      <c r="S120" s="538">
        <v>41</v>
      </c>
      <c r="T120" s="538" t="s">
        <v>70</v>
      </c>
      <c r="U120" s="68"/>
      <c r="V120" s="68"/>
      <c r="W120" s="68"/>
      <c r="X120" s="68"/>
      <c r="Y120" s="68"/>
      <c r="Z120" s="68"/>
      <c r="AA120" s="68"/>
      <c r="AB120" s="68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</row>
    <row r="121" spans="1:225" ht="1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68"/>
      <c r="S121" s="538">
        <v>42</v>
      </c>
      <c r="T121" s="538" t="s">
        <v>71</v>
      </c>
      <c r="U121" s="68"/>
      <c r="V121" s="68"/>
      <c r="W121" s="68"/>
      <c r="X121" s="68"/>
      <c r="Y121" s="68"/>
      <c r="Z121" s="68"/>
      <c r="AA121" s="68"/>
      <c r="AB121" s="68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</row>
    <row r="122" spans="1:225" ht="1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68"/>
      <c r="S122" s="538">
        <v>43</v>
      </c>
      <c r="T122" s="538" t="s">
        <v>72</v>
      </c>
      <c r="U122" s="68"/>
      <c r="V122" s="68"/>
      <c r="W122" s="68"/>
      <c r="X122" s="68"/>
      <c r="Y122" s="68"/>
      <c r="Z122" s="68"/>
      <c r="AA122" s="68"/>
      <c r="AB122" s="68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</row>
    <row r="123" spans="1:225" ht="1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68"/>
      <c r="S123" s="538">
        <v>44</v>
      </c>
      <c r="T123" s="538" t="s">
        <v>73</v>
      </c>
      <c r="U123" s="68"/>
      <c r="V123" s="68"/>
      <c r="W123" s="68"/>
      <c r="X123" s="68"/>
      <c r="Y123" s="68"/>
      <c r="Z123" s="68"/>
      <c r="AA123" s="68"/>
      <c r="AB123" s="68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</row>
    <row r="124" spans="1:225" ht="1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68"/>
      <c r="S124" s="538">
        <v>45</v>
      </c>
      <c r="T124" s="538" t="s">
        <v>74</v>
      </c>
      <c r="U124" s="68"/>
      <c r="V124" s="68"/>
      <c r="W124" s="68"/>
      <c r="X124" s="68"/>
      <c r="Y124" s="68"/>
      <c r="Z124" s="68"/>
      <c r="AA124" s="68"/>
      <c r="AB124" s="68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</row>
    <row r="125" spans="1:225" ht="1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68"/>
      <c r="S125" s="538">
        <v>46</v>
      </c>
      <c r="T125" s="538" t="s">
        <v>75</v>
      </c>
      <c r="U125" s="68"/>
      <c r="V125" s="68"/>
      <c r="W125" s="68"/>
      <c r="X125" s="68"/>
      <c r="Y125" s="68"/>
      <c r="Z125" s="68"/>
      <c r="AA125" s="68"/>
      <c r="AB125" s="68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</row>
    <row r="126" spans="1:225" ht="1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68"/>
      <c r="S126" s="538">
        <v>47</v>
      </c>
      <c r="T126" s="538" t="s">
        <v>76</v>
      </c>
      <c r="U126" s="68"/>
      <c r="V126" s="68"/>
      <c r="W126" s="68"/>
      <c r="X126" s="68"/>
      <c r="Y126" s="68"/>
      <c r="Z126" s="68"/>
      <c r="AA126" s="68"/>
      <c r="AB126" s="68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</row>
    <row r="127" spans="1:225" ht="1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68"/>
      <c r="S127" s="538">
        <v>48</v>
      </c>
      <c r="T127" s="538" t="s">
        <v>77</v>
      </c>
      <c r="U127" s="68"/>
      <c r="V127" s="68"/>
      <c r="W127" s="68"/>
      <c r="X127" s="68"/>
      <c r="Y127" s="68"/>
      <c r="Z127" s="68"/>
      <c r="AA127" s="68"/>
      <c r="AB127" s="68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</row>
    <row r="128" spans="1:225" ht="1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68"/>
      <c r="S128" s="538">
        <v>49</v>
      </c>
      <c r="T128" s="538" t="s">
        <v>78</v>
      </c>
      <c r="U128" s="68"/>
      <c r="V128" s="68"/>
      <c r="W128" s="68"/>
      <c r="X128" s="68"/>
      <c r="Y128" s="68"/>
      <c r="Z128" s="68"/>
      <c r="AA128" s="68"/>
      <c r="AB128" s="68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</row>
    <row r="129" spans="1:225" ht="1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68"/>
      <c r="S129" s="538">
        <v>50</v>
      </c>
      <c r="T129" s="538" t="s">
        <v>79</v>
      </c>
      <c r="U129" s="68"/>
      <c r="V129" s="68"/>
      <c r="W129" s="68"/>
      <c r="X129" s="68"/>
      <c r="Y129" s="68"/>
      <c r="Z129" s="68"/>
      <c r="AA129" s="68"/>
      <c r="AB129" s="68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</row>
    <row r="130" spans="1:225" ht="1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68"/>
      <c r="S130" s="538">
        <v>51</v>
      </c>
      <c r="T130" s="538" t="s">
        <v>80</v>
      </c>
      <c r="U130" s="68"/>
      <c r="V130" s="68"/>
      <c r="W130" s="68"/>
      <c r="X130" s="68"/>
      <c r="Y130" s="68"/>
      <c r="Z130" s="68"/>
      <c r="AA130" s="68"/>
      <c r="AB130" s="68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</row>
    <row r="131" spans="1:225" ht="1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68"/>
      <c r="S131" s="538">
        <v>52</v>
      </c>
      <c r="T131" s="538" t="s">
        <v>81</v>
      </c>
      <c r="U131" s="68"/>
      <c r="V131" s="68"/>
      <c r="W131" s="68"/>
      <c r="X131" s="68"/>
      <c r="Y131" s="68"/>
      <c r="Z131" s="68"/>
      <c r="AA131" s="68"/>
      <c r="AB131" s="68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</row>
    <row r="132" spans="1:225" ht="1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68"/>
      <c r="S132" s="538">
        <v>53</v>
      </c>
      <c r="T132" s="538" t="s">
        <v>82</v>
      </c>
      <c r="U132" s="68"/>
      <c r="V132" s="68"/>
      <c r="W132" s="68"/>
      <c r="X132" s="68"/>
      <c r="Y132" s="68"/>
      <c r="Z132" s="68"/>
      <c r="AA132" s="68"/>
      <c r="AB132" s="68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</row>
    <row r="133" spans="1:225" ht="1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68"/>
      <c r="S133" s="538">
        <v>54</v>
      </c>
      <c r="T133" s="538" t="s">
        <v>83</v>
      </c>
      <c r="U133" s="68"/>
      <c r="V133" s="68"/>
      <c r="W133" s="68"/>
      <c r="X133" s="68"/>
      <c r="Y133" s="68"/>
      <c r="Z133" s="68"/>
      <c r="AA133" s="68"/>
      <c r="AB133" s="68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</row>
    <row r="134" spans="1:225" ht="1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68"/>
      <c r="S134" s="538">
        <v>55</v>
      </c>
      <c r="T134" s="538" t="s">
        <v>84</v>
      </c>
      <c r="U134" s="68"/>
      <c r="V134" s="68"/>
      <c r="W134" s="68"/>
      <c r="X134" s="68"/>
      <c r="Y134" s="68"/>
      <c r="Z134" s="68"/>
      <c r="AA134" s="68"/>
      <c r="AB134" s="68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</row>
    <row r="135" spans="1:225" ht="1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68"/>
      <c r="S135" s="538">
        <v>56</v>
      </c>
      <c r="T135" s="538" t="s">
        <v>85</v>
      </c>
      <c r="U135" s="68"/>
      <c r="V135" s="68"/>
      <c r="W135" s="68"/>
      <c r="X135" s="68"/>
      <c r="Y135" s="68"/>
      <c r="Z135" s="68"/>
      <c r="AA135" s="68"/>
      <c r="AB135" s="68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</row>
    <row r="136" spans="1:225" ht="1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68"/>
      <c r="S136" s="538">
        <v>57</v>
      </c>
      <c r="T136" s="538" t="s">
        <v>86</v>
      </c>
      <c r="U136" s="68"/>
      <c r="V136" s="68"/>
      <c r="W136" s="68"/>
      <c r="X136" s="68"/>
      <c r="Y136" s="68"/>
      <c r="Z136" s="68"/>
      <c r="AA136" s="68"/>
      <c r="AB136" s="68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</row>
    <row r="137" spans="1:225" ht="1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68"/>
      <c r="S137" s="538">
        <v>58</v>
      </c>
      <c r="T137" s="538" t="s">
        <v>87</v>
      </c>
      <c r="U137" s="68"/>
      <c r="V137" s="68"/>
      <c r="W137" s="68"/>
      <c r="X137" s="68"/>
      <c r="Y137" s="68"/>
      <c r="Z137" s="68"/>
      <c r="AA137" s="68"/>
      <c r="AB137" s="68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</row>
    <row r="138" spans="1:225" ht="1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68"/>
      <c r="S138" s="538">
        <v>59</v>
      </c>
      <c r="T138" s="538" t="s">
        <v>88</v>
      </c>
      <c r="U138" s="68"/>
      <c r="V138" s="68"/>
      <c r="W138" s="68"/>
      <c r="X138" s="68"/>
      <c r="Y138" s="68"/>
      <c r="Z138" s="68"/>
      <c r="AA138" s="68"/>
      <c r="AB138" s="68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</row>
    <row r="139" spans="1:225" ht="1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68"/>
      <c r="S139" s="538">
        <v>60</v>
      </c>
      <c r="T139" s="538" t="s">
        <v>89</v>
      </c>
      <c r="U139" s="68"/>
      <c r="V139" s="68"/>
      <c r="W139" s="68"/>
      <c r="X139" s="68"/>
      <c r="Y139" s="68"/>
      <c r="Z139" s="68"/>
      <c r="AA139" s="68"/>
      <c r="AB139" s="68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</row>
    <row r="140" spans="1:225" ht="1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68"/>
      <c r="S140" s="538">
        <v>61</v>
      </c>
      <c r="T140" s="538" t="s">
        <v>90</v>
      </c>
      <c r="U140" s="68"/>
      <c r="V140" s="68"/>
      <c r="W140" s="68"/>
      <c r="X140" s="68"/>
      <c r="Y140" s="68"/>
      <c r="Z140" s="68"/>
      <c r="AA140" s="68"/>
      <c r="AB140" s="68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</row>
    <row r="141" spans="1:225" ht="1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68"/>
      <c r="S141" s="538">
        <v>62</v>
      </c>
      <c r="T141" s="538" t="s">
        <v>91</v>
      </c>
      <c r="U141" s="68"/>
      <c r="V141" s="68"/>
      <c r="W141" s="68"/>
      <c r="X141" s="68"/>
      <c r="Y141" s="68"/>
      <c r="Z141" s="68"/>
      <c r="AA141" s="68"/>
      <c r="AB141" s="68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</row>
    <row r="142" spans="1:225" ht="1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68"/>
      <c r="S142" s="538">
        <v>63</v>
      </c>
      <c r="T142" s="538" t="s">
        <v>92</v>
      </c>
      <c r="U142" s="68"/>
      <c r="V142" s="68"/>
      <c r="W142" s="68"/>
      <c r="X142" s="68"/>
      <c r="Y142" s="68"/>
      <c r="Z142" s="68"/>
      <c r="AA142" s="68"/>
      <c r="AB142" s="68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</row>
    <row r="143" spans="1:225" ht="1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68"/>
      <c r="S143" s="538">
        <v>64</v>
      </c>
      <c r="T143" s="538" t="s">
        <v>93</v>
      </c>
      <c r="U143" s="68"/>
      <c r="V143" s="68"/>
      <c r="W143" s="68"/>
      <c r="X143" s="68"/>
      <c r="Y143" s="68"/>
      <c r="Z143" s="68"/>
      <c r="AA143" s="68"/>
      <c r="AB143" s="68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</row>
    <row r="144" spans="1:225" ht="1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68"/>
      <c r="S144" s="538">
        <v>65</v>
      </c>
      <c r="T144" s="538" t="s">
        <v>94</v>
      </c>
      <c r="U144" s="68"/>
      <c r="V144" s="68"/>
      <c r="W144" s="68"/>
      <c r="X144" s="68"/>
      <c r="Y144" s="68"/>
      <c r="Z144" s="68"/>
      <c r="AA144" s="68"/>
      <c r="AB144" s="68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</row>
    <row r="145" spans="1:225" ht="1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68"/>
      <c r="S145" s="538">
        <v>66</v>
      </c>
      <c r="T145" s="538" t="s">
        <v>95</v>
      </c>
      <c r="U145" s="68"/>
      <c r="V145" s="68"/>
      <c r="W145" s="68"/>
      <c r="X145" s="68"/>
      <c r="Y145" s="68"/>
      <c r="Z145" s="68"/>
      <c r="AA145" s="68"/>
      <c r="AB145" s="68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</row>
    <row r="146" spans="1:225" ht="1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68"/>
      <c r="S146" s="538">
        <v>67</v>
      </c>
      <c r="T146" s="538" t="s">
        <v>96</v>
      </c>
      <c r="U146" s="68"/>
      <c r="V146" s="68"/>
      <c r="W146" s="68"/>
      <c r="X146" s="68"/>
      <c r="Y146" s="68"/>
      <c r="Z146" s="68"/>
      <c r="AA146" s="68"/>
      <c r="AB146" s="68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</row>
    <row r="147" spans="1:225" ht="1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68"/>
      <c r="S147" s="538">
        <v>68</v>
      </c>
      <c r="T147" s="538" t="s">
        <v>97</v>
      </c>
      <c r="U147" s="68"/>
      <c r="V147" s="68"/>
      <c r="W147" s="68"/>
      <c r="X147" s="68"/>
      <c r="Y147" s="68"/>
      <c r="Z147" s="68"/>
      <c r="AA147" s="68"/>
      <c r="AB147" s="68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</row>
    <row r="148" spans="1:225" ht="1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68"/>
      <c r="S148" s="538">
        <v>69</v>
      </c>
      <c r="T148" s="538" t="s">
        <v>98</v>
      </c>
      <c r="U148" s="68"/>
      <c r="V148" s="68"/>
      <c r="W148" s="68"/>
      <c r="X148" s="68"/>
      <c r="Y148" s="68"/>
      <c r="Z148" s="68"/>
      <c r="AA148" s="68"/>
      <c r="AB148" s="68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</row>
    <row r="149" spans="1:225" ht="1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68"/>
      <c r="S149" s="538">
        <v>70</v>
      </c>
      <c r="T149" s="538" t="s">
        <v>99</v>
      </c>
      <c r="U149" s="68"/>
      <c r="V149" s="68"/>
      <c r="W149" s="68"/>
      <c r="X149" s="68"/>
      <c r="Y149" s="68"/>
      <c r="Z149" s="68"/>
      <c r="AA149" s="68"/>
      <c r="AB149" s="68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</row>
    <row r="150" spans="1:225" ht="1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68"/>
      <c r="S150" s="538">
        <v>71</v>
      </c>
      <c r="T150" s="538" t="s">
        <v>100</v>
      </c>
      <c r="U150" s="68"/>
      <c r="V150" s="68"/>
      <c r="W150" s="68"/>
      <c r="X150" s="68"/>
      <c r="Y150" s="68"/>
      <c r="Z150" s="68"/>
      <c r="AA150" s="68"/>
      <c r="AB150" s="68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</row>
    <row r="151" spans="1:225" ht="1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68"/>
      <c r="S151" s="538">
        <v>72</v>
      </c>
      <c r="T151" s="538" t="s">
        <v>101</v>
      </c>
      <c r="U151" s="68"/>
      <c r="V151" s="68"/>
      <c r="W151" s="68"/>
      <c r="X151" s="68"/>
      <c r="Y151" s="68"/>
      <c r="Z151" s="68"/>
      <c r="AA151" s="68"/>
      <c r="AB151" s="68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</row>
    <row r="152" spans="1:225" ht="1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68"/>
      <c r="S152" s="538">
        <v>73</v>
      </c>
      <c r="T152" s="538" t="s">
        <v>102</v>
      </c>
      <c r="U152" s="68"/>
      <c r="V152" s="68"/>
      <c r="W152" s="68"/>
      <c r="X152" s="68"/>
      <c r="Y152" s="68"/>
      <c r="Z152" s="68"/>
      <c r="AA152" s="68"/>
      <c r="AB152" s="68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</row>
    <row r="153" spans="1:225" ht="1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68"/>
      <c r="S153" s="538">
        <v>74</v>
      </c>
      <c r="T153" s="538" t="s">
        <v>103</v>
      </c>
      <c r="U153" s="68"/>
      <c r="V153" s="68"/>
      <c r="W153" s="68"/>
      <c r="X153" s="68"/>
      <c r="Y153" s="68"/>
      <c r="Z153" s="68"/>
      <c r="AA153" s="68"/>
      <c r="AB153" s="68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</row>
    <row r="154" spans="1:225" ht="1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68"/>
      <c r="S154" s="538">
        <v>75</v>
      </c>
      <c r="T154" s="538" t="s">
        <v>104</v>
      </c>
      <c r="U154" s="68"/>
      <c r="V154" s="68"/>
      <c r="W154" s="68"/>
      <c r="X154" s="68"/>
      <c r="Y154" s="68"/>
      <c r="Z154" s="68"/>
      <c r="AA154" s="68"/>
      <c r="AB154" s="68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</row>
    <row r="155" spans="1:225" ht="1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68"/>
      <c r="S155" s="538">
        <v>76</v>
      </c>
      <c r="T155" s="538" t="s">
        <v>105</v>
      </c>
      <c r="U155" s="68"/>
      <c r="V155" s="68"/>
      <c r="W155" s="68"/>
      <c r="X155" s="68"/>
      <c r="Y155" s="68"/>
      <c r="Z155" s="68"/>
      <c r="AA155" s="68"/>
      <c r="AB155" s="68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</row>
    <row r="156" spans="1:225" ht="1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68"/>
      <c r="S156" s="538">
        <v>77</v>
      </c>
      <c r="T156" s="538" t="s">
        <v>106</v>
      </c>
      <c r="U156" s="68"/>
      <c r="V156" s="68"/>
      <c r="W156" s="68"/>
      <c r="X156" s="68"/>
      <c r="Y156" s="68"/>
      <c r="Z156" s="68"/>
      <c r="AA156" s="68"/>
      <c r="AB156" s="68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</row>
    <row r="157" spans="1:225" ht="1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68"/>
      <c r="S157" s="538">
        <v>78</v>
      </c>
      <c r="T157" s="538" t="s">
        <v>107</v>
      </c>
      <c r="U157" s="68"/>
      <c r="V157" s="68"/>
      <c r="W157" s="68"/>
      <c r="X157" s="68"/>
      <c r="Y157" s="68"/>
      <c r="Z157" s="68"/>
      <c r="AA157" s="68"/>
      <c r="AB157" s="68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</row>
    <row r="158" spans="1:225" ht="1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68"/>
      <c r="S158" s="538">
        <v>79</v>
      </c>
      <c r="T158" s="538" t="s">
        <v>108</v>
      </c>
      <c r="U158" s="68"/>
      <c r="V158" s="68"/>
      <c r="W158" s="68"/>
      <c r="X158" s="68"/>
      <c r="Y158" s="68"/>
      <c r="Z158" s="68"/>
      <c r="AA158" s="68"/>
      <c r="AB158" s="68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</row>
    <row r="159" spans="1:225" ht="1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68"/>
      <c r="S159" s="538">
        <v>80</v>
      </c>
      <c r="T159" s="538" t="s">
        <v>109</v>
      </c>
      <c r="U159" s="68"/>
      <c r="V159" s="68"/>
      <c r="W159" s="68"/>
      <c r="X159" s="68"/>
      <c r="Y159" s="68"/>
      <c r="Z159" s="68"/>
      <c r="AA159" s="68"/>
      <c r="AB159" s="68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</row>
    <row r="160" spans="1:225" ht="1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68"/>
      <c r="S160" s="538">
        <v>81</v>
      </c>
      <c r="T160" s="538" t="s">
        <v>110</v>
      </c>
      <c r="U160" s="68"/>
      <c r="V160" s="68"/>
      <c r="W160" s="68"/>
      <c r="X160" s="68"/>
      <c r="Y160" s="68"/>
      <c r="Z160" s="68"/>
      <c r="AA160" s="68"/>
      <c r="AB160" s="68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</row>
    <row r="161" spans="1:225" ht="1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68"/>
      <c r="S161" s="538">
        <v>82</v>
      </c>
      <c r="T161" s="538" t="s">
        <v>111</v>
      </c>
      <c r="U161" s="68"/>
      <c r="V161" s="68"/>
      <c r="W161" s="68"/>
      <c r="X161" s="68"/>
      <c r="Y161" s="68"/>
      <c r="Z161" s="68"/>
      <c r="AA161" s="68"/>
      <c r="AB161" s="68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</row>
    <row r="162" spans="1:225" ht="1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68"/>
      <c r="S162" s="538">
        <v>83</v>
      </c>
      <c r="T162" s="538" t="s">
        <v>112</v>
      </c>
      <c r="U162" s="68"/>
      <c r="V162" s="68"/>
      <c r="W162" s="68"/>
      <c r="X162" s="68"/>
      <c r="Y162" s="68"/>
      <c r="Z162" s="68"/>
      <c r="AA162" s="68"/>
      <c r="AB162" s="68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</row>
    <row r="163" spans="1:225" ht="1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68"/>
      <c r="S163" s="538">
        <v>84</v>
      </c>
      <c r="T163" s="538" t="s">
        <v>113</v>
      </c>
      <c r="U163" s="68"/>
      <c r="V163" s="68"/>
      <c r="W163" s="68"/>
      <c r="X163" s="68"/>
      <c r="Y163" s="68"/>
      <c r="Z163" s="68"/>
      <c r="AA163" s="68"/>
      <c r="AB163" s="68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</row>
    <row r="164" spans="1:225" ht="1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68"/>
      <c r="S164" s="538">
        <v>85</v>
      </c>
      <c r="T164" s="538" t="s">
        <v>114</v>
      </c>
      <c r="U164" s="68"/>
      <c r="V164" s="68"/>
      <c r="W164" s="68"/>
      <c r="X164" s="68"/>
      <c r="Y164" s="68"/>
      <c r="Z164" s="68"/>
      <c r="AA164" s="68"/>
      <c r="AB164" s="68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</row>
    <row r="165" spans="1:225" ht="1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68"/>
      <c r="S165" s="538">
        <v>86</v>
      </c>
      <c r="T165" s="538" t="s">
        <v>115</v>
      </c>
      <c r="U165" s="68"/>
      <c r="V165" s="68"/>
      <c r="W165" s="68"/>
      <c r="X165" s="68"/>
      <c r="Y165" s="68"/>
      <c r="Z165" s="68"/>
      <c r="AA165" s="68"/>
      <c r="AB165" s="68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</row>
    <row r="166" spans="1:225" ht="1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68"/>
      <c r="S166" s="538">
        <v>87</v>
      </c>
      <c r="T166" s="538" t="s">
        <v>116</v>
      </c>
      <c r="U166" s="68"/>
      <c r="V166" s="68"/>
      <c r="W166" s="68"/>
      <c r="X166" s="68"/>
      <c r="Y166" s="68"/>
      <c r="Z166" s="68"/>
      <c r="AA166" s="68"/>
      <c r="AB166" s="68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</row>
    <row r="167" spans="1:225" ht="1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68"/>
      <c r="S167" s="538">
        <v>88</v>
      </c>
      <c r="T167" s="538" t="s">
        <v>117</v>
      </c>
      <c r="U167" s="68"/>
      <c r="V167" s="68"/>
      <c r="W167" s="68"/>
      <c r="X167" s="68"/>
      <c r="Y167" s="68"/>
      <c r="Z167" s="68"/>
      <c r="AA167" s="68"/>
      <c r="AB167" s="68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</row>
    <row r="168" spans="1:225" ht="1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68"/>
      <c r="S168" s="538">
        <v>89</v>
      </c>
      <c r="T168" s="538" t="s">
        <v>118</v>
      </c>
      <c r="U168" s="68"/>
      <c r="V168" s="68"/>
      <c r="W168" s="68"/>
      <c r="X168" s="68"/>
      <c r="Y168" s="68"/>
      <c r="Z168" s="68"/>
      <c r="AA168" s="68"/>
      <c r="AB168" s="68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</row>
    <row r="169" spans="1:225" ht="1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68"/>
      <c r="S169" s="538">
        <v>90</v>
      </c>
      <c r="T169" s="538" t="s">
        <v>119</v>
      </c>
      <c r="U169" s="68"/>
      <c r="V169" s="68"/>
      <c r="W169" s="68"/>
      <c r="X169" s="68"/>
      <c r="Y169" s="68"/>
      <c r="Z169" s="68"/>
      <c r="AA169" s="68"/>
      <c r="AB169" s="68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</row>
    <row r="170" spans="1:225" ht="1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68"/>
      <c r="S170" s="538">
        <v>91</v>
      </c>
      <c r="T170" s="538" t="s">
        <v>120</v>
      </c>
      <c r="U170" s="68"/>
      <c r="V170" s="68"/>
      <c r="W170" s="68"/>
      <c r="X170" s="68"/>
      <c r="Y170" s="68"/>
      <c r="Z170" s="68"/>
      <c r="AA170" s="68"/>
      <c r="AB170" s="68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</row>
    <row r="171" spans="1:225" ht="1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68"/>
      <c r="S171" s="538">
        <v>92</v>
      </c>
      <c r="T171" s="538" t="s">
        <v>121</v>
      </c>
      <c r="U171" s="68"/>
      <c r="V171" s="68"/>
      <c r="W171" s="68"/>
      <c r="X171" s="68"/>
      <c r="Y171" s="68"/>
      <c r="Z171" s="68"/>
      <c r="AA171" s="68"/>
      <c r="AB171" s="68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</row>
    <row r="172" spans="1:225" ht="1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68"/>
      <c r="S172" s="538">
        <v>93</v>
      </c>
      <c r="T172" s="538" t="s">
        <v>122</v>
      </c>
      <c r="U172" s="68"/>
      <c r="V172" s="68"/>
      <c r="W172" s="68"/>
      <c r="X172" s="68"/>
      <c r="Y172" s="68"/>
      <c r="Z172" s="68"/>
      <c r="AA172" s="68"/>
      <c r="AB172" s="68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</row>
    <row r="173" spans="1:225" ht="1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68"/>
      <c r="S173" s="538">
        <v>94</v>
      </c>
      <c r="T173" s="538" t="s">
        <v>123</v>
      </c>
      <c r="U173" s="68"/>
      <c r="V173" s="68"/>
      <c r="W173" s="68"/>
      <c r="X173" s="68"/>
      <c r="Y173" s="68"/>
      <c r="Z173" s="68"/>
      <c r="AA173" s="68"/>
      <c r="AB173" s="68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</row>
    <row r="174" spans="1:225" ht="1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68"/>
      <c r="S174" s="538">
        <v>95</v>
      </c>
      <c r="T174" s="538" t="s">
        <v>124</v>
      </c>
      <c r="U174" s="68"/>
      <c r="V174" s="68"/>
      <c r="W174" s="68"/>
      <c r="X174" s="68"/>
      <c r="Y174" s="68"/>
      <c r="Z174" s="68"/>
      <c r="AA174" s="68"/>
      <c r="AB174" s="68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</row>
    <row r="175" spans="1:225" ht="1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68"/>
      <c r="S175" s="538">
        <v>96</v>
      </c>
      <c r="T175" s="538" t="s">
        <v>125</v>
      </c>
      <c r="U175" s="68"/>
      <c r="V175" s="68"/>
      <c r="W175" s="68"/>
      <c r="X175" s="68"/>
      <c r="Y175" s="68"/>
      <c r="Z175" s="68"/>
      <c r="AA175" s="68"/>
      <c r="AB175" s="68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</row>
    <row r="176" spans="1:225" ht="1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68"/>
      <c r="S176" s="538">
        <v>97</v>
      </c>
      <c r="T176" s="538" t="s">
        <v>126</v>
      </c>
      <c r="U176" s="68"/>
      <c r="V176" s="68"/>
      <c r="W176" s="68"/>
      <c r="X176" s="68"/>
      <c r="Y176" s="68"/>
      <c r="Z176" s="68"/>
      <c r="AA176" s="68"/>
      <c r="AB176" s="68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</row>
    <row r="177" spans="1:225" ht="1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68"/>
      <c r="S177" s="538">
        <v>98</v>
      </c>
      <c r="T177" s="538" t="s">
        <v>127</v>
      </c>
      <c r="U177" s="68"/>
      <c r="V177" s="68"/>
      <c r="W177" s="68"/>
      <c r="X177" s="68"/>
      <c r="Y177" s="68"/>
      <c r="Z177" s="68"/>
      <c r="AA177" s="68"/>
      <c r="AB177" s="68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</row>
    <row r="178" spans="1:225" ht="1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68"/>
      <c r="S178" s="538">
        <v>99</v>
      </c>
      <c r="T178" s="538" t="s">
        <v>128</v>
      </c>
      <c r="U178" s="68"/>
      <c r="V178" s="68"/>
      <c r="W178" s="68"/>
      <c r="X178" s="68"/>
      <c r="Y178" s="68"/>
      <c r="Z178" s="68"/>
      <c r="AA178" s="68"/>
      <c r="AB178" s="68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</row>
    <row r="179" spans="1:225" ht="1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68"/>
      <c r="S179" s="538">
        <v>100</v>
      </c>
      <c r="T179" s="538" t="s">
        <v>129</v>
      </c>
      <c r="U179" s="68"/>
      <c r="V179" s="68"/>
      <c r="W179" s="68"/>
      <c r="X179" s="68"/>
      <c r="Y179" s="68"/>
      <c r="Z179" s="68"/>
      <c r="AA179" s="68"/>
      <c r="AB179" s="68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</row>
  </sheetData>
  <sheetProtection password="CF7A" sheet="1" scenarios="1" autoFilter="0"/>
  <autoFilter ref="R11:S65"/>
  <mergeCells count="119">
    <mergeCell ref="R9:R11"/>
    <mergeCell ref="AB9:AB11"/>
    <mergeCell ref="E78:F78"/>
    <mergeCell ref="E73:J73"/>
    <mergeCell ref="L73:M73"/>
    <mergeCell ref="M47:N47"/>
    <mergeCell ref="M46:N46"/>
    <mergeCell ref="M45:N45"/>
    <mergeCell ref="M44:N44"/>
    <mergeCell ref="M32:N32"/>
    <mergeCell ref="M31:N31"/>
    <mergeCell ref="M61:N61"/>
    <mergeCell ref="M60:N60"/>
    <mergeCell ref="M54:N54"/>
    <mergeCell ref="M53:N53"/>
    <mergeCell ref="M52:N52"/>
    <mergeCell ref="M51:N51"/>
    <mergeCell ref="M50:N50"/>
    <mergeCell ref="M49:N49"/>
    <mergeCell ref="M48:N48"/>
    <mergeCell ref="E9:J9"/>
    <mergeCell ref="L9:O9"/>
    <mergeCell ref="O10:O11"/>
    <mergeCell ref="M14:N14"/>
    <mergeCell ref="B28:D28"/>
    <mergeCell ref="B27:D27"/>
    <mergeCell ref="B16:D16"/>
    <mergeCell ref="B15:D15"/>
    <mergeCell ref="M43:N43"/>
    <mergeCell ref="M42:N42"/>
    <mergeCell ref="M41:N41"/>
    <mergeCell ref="F3:N4"/>
    <mergeCell ref="M27:N27"/>
    <mergeCell ref="M26:N26"/>
    <mergeCell ref="M25:N25"/>
    <mergeCell ref="B40:D40"/>
    <mergeCell ref="B26:D26"/>
    <mergeCell ref="B25:D25"/>
    <mergeCell ref="B24:D24"/>
    <mergeCell ref="B23:D23"/>
    <mergeCell ref="B22:D22"/>
    <mergeCell ref="B14:D14"/>
    <mergeCell ref="B13:D13"/>
    <mergeCell ref="M10:N11"/>
    <mergeCell ref="M24:N24"/>
    <mergeCell ref="M23:N23"/>
    <mergeCell ref="M22:N22"/>
    <mergeCell ref="M29:N29"/>
    <mergeCell ref="B61:D61"/>
    <mergeCell ref="B60:D60"/>
    <mergeCell ref="B54:D54"/>
    <mergeCell ref="B53:D53"/>
    <mergeCell ref="B52:D52"/>
    <mergeCell ref="B51:D51"/>
    <mergeCell ref="B50:D50"/>
    <mergeCell ref="B49:D49"/>
    <mergeCell ref="B48:D48"/>
    <mergeCell ref="B55:D55"/>
    <mergeCell ref="B56:D56"/>
    <mergeCell ref="B57:D57"/>
    <mergeCell ref="B58:D58"/>
    <mergeCell ref="B59:D59"/>
    <mergeCell ref="B39:D39"/>
    <mergeCell ref="B38:D38"/>
    <mergeCell ref="B37:D37"/>
    <mergeCell ref="B36:D36"/>
    <mergeCell ref="B35:D35"/>
    <mergeCell ref="B43:D43"/>
    <mergeCell ref="B42:D42"/>
    <mergeCell ref="B41:D41"/>
    <mergeCell ref="B29:D29"/>
    <mergeCell ref="Q9:Q11"/>
    <mergeCell ref="B12:D12"/>
    <mergeCell ref="B21:D21"/>
    <mergeCell ref="B20:D20"/>
    <mergeCell ref="B19:D19"/>
    <mergeCell ref="B18:D18"/>
    <mergeCell ref="B17:D17"/>
    <mergeCell ref="B47:D47"/>
    <mergeCell ref="B46:D46"/>
    <mergeCell ref="B45:D45"/>
    <mergeCell ref="B44:D44"/>
    <mergeCell ref="B34:D34"/>
    <mergeCell ref="B33:D33"/>
    <mergeCell ref="B32:D32"/>
    <mergeCell ref="B31:D31"/>
    <mergeCell ref="B30:D30"/>
    <mergeCell ref="M13:N13"/>
    <mergeCell ref="M12:N12"/>
    <mergeCell ref="M40:N40"/>
    <mergeCell ref="M39:N39"/>
    <mergeCell ref="M38:N38"/>
    <mergeCell ref="M37:N37"/>
    <mergeCell ref="M36:N36"/>
    <mergeCell ref="M35:N35"/>
    <mergeCell ref="M55:N55"/>
    <mergeCell ref="M56:N56"/>
    <mergeCell ref="M57:N57"/>
    <mergeCell ref="M58:N58"/>
    <mergeCell ref="M59:N59"/>
    <mergeCell ref="C66:D66"/>
    <mergeCell ref="L66:P66"/>
    <mergeCell ref="L10:L11"/>
    <mergeCell ref="B11:D11"/>
    <mergeCell ref="A10:D10"/>
    <mergeCell ref="I10:J10"/>
    <mergeCell ref="G10:H10"/>
    <mergeCell ref="E10:F10"/>
    <mergeCell ref="M34:N34"/>
    <mergeCell ref="M33:N33"/>
    <mergeCell ref="M28:N28"/>
    <mergeCell ref="M21:N21"/>
    <mergeCell ref="M20:N20"/>
    <mergeCell ref="M19:N19"/>
    <mergeCell ref="M18:N18"/>
    <mergeCell ref="M17:N17"/>
    <mergeCell ref="M16:N16"/>
    <mergeCell ref="M15:N15"/>
    <mergeCell ref="M30:N30"/>
  </mergeCells>
  <conditionalFormatting sqref="L12:L61 E12:J61">
    <cfRule type="cellIs" dxfId="50" priority="4" operator="lessThan">
      <formula>51</formula>
    </cfRule>
  </conditionalFormatting>
  <conditionalFormatting sqref="N67:N71 E75:M81">
    <cfRule type="cellIs" dxfId="49" priority="2" operator="equal">
      <formula>0</formula>
    </cfRule>
    <cfRule type="containsErrors" dxfId="48" priority="3">
      <formula>ISERROR(E67)</formula>
    </cfRule>
  </conditionalFormatting>
  <conditionalFormatting sqref="AB12:AB61">
    <cfRule type="top10" dxfId="47" priority="1" bottom="1" rank="10"/>
  </conditionalFormatting>
  <pageMargins left="0.78740157480314965" right="0.39370078740157483" top="0.39370078740157483" bottom="0.39370078740157483" header="0.31496062992125984" footer="0.31496062992125984"/>
  <pageSetup scale="54" fitToHeight="0" orientation="portrait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  <pageSetUpPr fitToPage="1"/>
  </sheetPr>
  <dimension ref="A1:IA73"/>
  <sheetViews>
    <sheetView showGridLines="0" showRowColHeaders="0" showZeros="0" zoomScale="85" zoomScaleNormal="85" workbookViewId="0">
      <pane xSplit="4" ySplit="13" topLeftCell="F14" activePane="bottomRight" state="frozen"/>
      <selection activeCell="BW64" sqref="BW64"/>
      <selection pane="topRight" activeCell="BW64" sqref="BW64"/>
      <selection pane="bottomLeft" activeCell="BW64" sqref="BW64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0" width="2.375" style="25" hidden="1" customWidth="1"/>
    <col min="91" max="92" width="3.25" style="25" hidden="1" customWidth="1"/>
    <col min="93" max="93" width="3.25" style="25" customWidth="1"/>
    <col min="94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63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  <c r="CQ1" s="311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10" t="s">
        <v>308</v>
      </c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1"/>
      <c r="AR2" s="611"/>
      <c r="AS2" s="611"/>
      <c r="AT2" s="611"/>
      <c r="AU2" s="611"/>
      <c r="AV2" s="611"/>
      <c r="AW2" s="611"/>
      <c r="AX2" s="611"/>
      <c r="AY2" s="611"/>
      <c r="AZ2" s="611"/>
      <c r="BA2" s="611"/>
      <c r="BB2" s="611"/>
      <c r="BC2" s="611"/>
      <c r="BD2" s="611"/>
      <c r="BE2" s="611"/>
      <c r="BF2" s="611"/>
      <c r="BG2" s="611"/>
      <c r="BH2" s="611"/>
      <c r="BI2" s="611"/>
      <c r="BJ2" s="611"/>
      <c r="BK2" s="611"/>
      <c r="BL2" s="611"/>
      <c r="BM2" s="611"/>
      <c r="BN2" s="611"/>
      <c r="BO2" s="611"/>
      <c r="BP2" s="611"/>
      <c r="BQ2" s="611"/>
      <c r="BR2" s="611"/>
      <c r="BS2" s="611"/>
      <c r="BT2" s="611"/>
      <c r="BU2" s="611"/>
      <c r="BV2" s="611"/>
      <c r="BW2" s="611"/>
      <c r="BX2" s="611"/>
      <c r="BY2" s="611"/>
      <c r="BZ2" s="611"/>
      <c r="CA2" s="611"/>
      <c r="CB2" s="611"/>
      <c r="CQ2" s="311"/>
    </row>
    <row r="3" spans="1:233" ht="18" customHeight="1">
      <c r="A3" s="64"/>
      <c r="D3" s="390" t="str">
        <f>IF(FILIACIÓN!C3="","",FILIACIÓN!C3)</f>
        <v xml:space="preserve">TURNO </v>
      </c>
      <c r="E3" s="390"/>
      <c r="CQ3" s="311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8"/>
      <c r="H4" s="458"/>
      <c r="I4" s="458"/>
      <c r="J4" s="458"/>
      <c r="K4" s="458"/>
      <c r="L4" s="649" t="s">
        <v>309</v>
      </c>
      <c r="M4" s="649"/>
      <c r="N4" s="649"/>
      <c r="O4" s="649"/>
      <c r="P4" s="649"/>
      <c r="Q4" s="649"/>
      <c r="R4" s="649"/>
      <c r="S4" s="649"/>
      <c r="T4" s="649"/>
      <c r="U4" s="649"/>
      <c r="V4" s="649"/>
      <c r="W4" s="649"/>
      <c r="X4" s="649"/>
      <c r="Y4" s="649"/>
      <c r="Z4" s="649"/>
      <c r="AA4" s="649"/>
      <c r="AB4" s="649"/>
      <c r="AC4" s="649"/>
      <c r="AD4" s="649"/>
      <c r="AE4" s="649"/>
      <c r="AF4" s="649"/>
      <c r="AG4" s="649"/>
      <c r="AH4" s="649"/>
      <c r="AI4" s="649"/>
      <c r="AJ4" s="649"/>
      <c r="AK4" s="649"/>
      <c r="AL4" s="649"/>
      <c r="AM4" s="649"/>
      <c r="AN4" s="649"/>
      <c r="AO4" s="649"/>
      <c r="AP4" s="649"/>
      <c r="AQ4" s="649"/>
      <c r="AR4" s="649"/>
      <c r="AS4" s="649"/>
      <c r="AT4" s="649"/>
      <c r="AU4" s="649"/>
      <c r="AV4" s="649"/>
      <c r="AW4" s="649"/>
      <c r="AX4" s="649"/>
      <c r="AY4" s="649"/>
      <c r="AZ4" s="649"/>
      <c r="BA4" s="649"/>
      <c r="BB4" s="649"/>
      <c r="BC4" s="649"/>
      <c r="BD4" s="649"/>
      <c r="BE4" s="649"/>
      <c r="BF4" s="649"/>
      <c r="BG4" s="649"/>
      <c r="BH4" s="649"/>
      <c r="BI4" s="649"/>
      <c r="BJ4" s="649"/>
      <c r="BK4" s="649"/>
      <c r="BL4" s="649"/>
      <c r="BM4" s="649"/>
      <c r="BN4" s="649"/>
      <c r="BO4" s="649"/>
      <c r="BP4" s="649"/>
      <c r="BQ4" s="649"/>
      <c r="BR4" s="649"/>
      <c r="BS4" s="649"/>
      <c r="BT4" s="649"/>
      <c r="BU4" s="649"/>
      <c r="BV4" s="649"/>
      <c r="BW4" s="649"/>
      <c r="BX4" s="649"/>
      <c r="BY4" s="649"/>
      <c r="BZ4" s="649"/>
      <c r="CA4" s="649"/>
      <c r="CB4" s="649"/>
      <c r="CG4" s="46"/>
      <c r="CH4" s="46"/>
      <c r="CI4" s="46"/>
      <c r="CJ4" s="46"/>
      <c r="CK4" s="46"/>
      <c r="CL4" s="46"/>
      <c r="CN4" s="46"/>
      <c r="CO4" s="46"/>
      <c r="CP4" s="46"/>
      <c r="CQ4" s="312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O5" s="533"/>
      <c r="CP5" s="533"/>
      <c r="CQ5" s="311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62"/>
      <c r="FD5" s="62"/>
      <c r="FE5" s="62"/>
      <c r="FF5" s="62"/>
      <c r="FG5" s="62"/>
      <c r="FI5" s="62"/>
      <c r="FJ5" s="62"/>
      <c r="FK5" s="62"/>
      <c r="FL5" s="62"/>
      <c r="FM5" s="62"/>
      <c r="FO5" s="62"/>
      <c r="FP5" s="62"/>
      <c r="FQ5" s="62"/>
      <c r="FR5" s="62"/>
      <c r="FS5" s="62"/>
      <c r="FU5" s="62"/>
      <c r="FV5" s="62"/>
      <c r="FW5" s="62"/>
      <c r="FX5" s="62"/>
      <c r="FY5" s="62"/>
      <c r="GA5" s="62"/>
      <c r="GB5" s="62"/>
      <c r="GC5" s="62"/>
      <c r="GD5" s="62"/>
      <c r="GE5" s="62"/>
      <c r="GG5" s="62"/>
      <c r="GH5" s="62"/>
      <c r="GI5" s="62"/>
      <c r="GJ5" s="62"/>
      <c r="GK5" s="62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12" t="s">
        <v>243</v>
      </c>
      <c r="CG6" s="199"/>
      <c r="CH6" s="199"/>
      <c r="CI6" s="199"/>
      <c r="CJ6" s="199"/>
      <c r="CK6" s="533"/>
      <c r="CL6" s="533"/>
      <c r="CO6" s="533"/>
      <c r="CP6" s="533"/>
      <c r="CQ6" s="311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62"/>
      <c r="FD6" s="62"/>
      <c r="FE6" s="62"/>
      <c r="FF6" s="62"/>
      <c r="FG6" s="62"/>
      <c r="FI6" s="62"/>
      <c r="FJ6" s="62"/>
      <c r="FK6" s="62"/>
      <c r="FL6" s="62"/>
      <c r="FM6" s="62"/>
      <c r="FO6" s="62"/>
      <c r="FP6" s="62"/>
      <c r="FQ6" s="62"/>
      <c r="FR6" s="62"/>
      <c r="FS6" s="62"/>
      <c r="FU6" s="62"/>
      <c r="FV6" s="62"/>
      <c r="FW6" s="62"/>
      <c r="FX6" s="62"/>
      <c r="FY6" s="62"/>
      <c r="GA6" s="62"/>
      <c r="GB6" s="62"/>
      <c r="GC6" s="62"/>
      <c r="GD6" s="62"/>
      <c r="GE6" s="62"/>
      <c r="GG6" s="62"/>
      <c r="GH6" s="62"/>
      <c r="GI6" s="62"/>
      <c r="GJ6" s="62"/>
      <c r="GK6" s="62"/>
    </row>
    <row r="7" spans="1:233" ht="5.25" customHeight="1">
      <c r="A7" s="25"/>
      <c r="B7" s="48"/>
      <c r="C7" s="69"/>
      <c r="D7" s="61"/>
      <c r="E7" s="61"/>
      <c r="F7" s="62"/>
      <c r="V7" s="62"/>
      <c r="W7" s="62"/>
      <c r="X7" s="62"/>
      <c r="Y7" s="62"/>
      <c r="Z7" s="62"/>
      <c r="AA7" s="62"/>
      <c r="AB7" s="62"/>
      <c r="AC7" s="219"/>
      <c r="AD7" s="219"/>
      <c r="AE7" s="219"/>
      <c r="AF7" s="62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1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62"/>
      <c r="FD7" s="62"/>
      <c r="FE7" s="62"/>
      <c r="FF7" s="62"/>
      <c r="FG7" s="62"/>
      <c r="FI7" s="62"/>
      <c r="FJ7" s="62"/>
      <c r="FK7" s="62"/>
      <c r="FL7" s="62"/>
      <c r="FM7" s="62"/>
      <c r="FO7" s="62"/>
      <c r="FP7" s="62"/>
      <c r="FQ7" s="62"/>
      <c r="FR7" s="62"/>
      <c r="FS7" s="62"/>
      <c r="FU7" s="62"/>
      <c r="FV7" s="62"/>
      <c r="FW7" s="62"/>
      <c r="FX7" s="62"/>
      <c r="FY7" s="62"/>
      <c r="GA7" s="62"/>
      <c r="GB7" s="62"/>
      <c r="GC7" s="62"/>
      <c r="GD7" s="62"/>
      <c r="GE7" s="62"/>
      <c r="GG7" s="62"/>
      <c r="GH7" s="62"/>
      <c r="GI7" s="62"/>
      <c r="GJ7" s="62"/>
      <c r="GK7" s="62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62"/>
      <c r="I8" s="62"/>
      <c r="J8" s="62"/>
      <c r="K8" s="62"/>
      <c r="N8" s="69"/>
      <c r="O8" s="48"/>
      <c r="P8" s="69"/>
      <c r="Q8" s="69"/>
      <c r="R8" s="69"/>
      <c r="S8" s="69"/>
      <c r="T8" s="69"/>
      <c r="U8" s="62"/>
      <c r="V8" s="62"/>
      <c r="W8" s="62"/>
      <c r="X8" s="62"/>
      <c r="Y8" s="62"/>
      <c r="Z8" s="62"/>
      <c r="AA8" s="62"/>
      <c r="AB8" s="62"/>
      <c r="AC8" s="219"/>
      <c r="AD8" s="219"/>
      <c r="AE8" s="219"/>
      <c r="AF8" s="62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16" t="s">
        <v>302</v>
      </c>
      <c r="BY8" s="616"/>
      <c r="BZ8" s="616"/>
      <c r="CA8" s="616"/>
      <c r="CB8" s="616"/>
      <c r="CC8" s="24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62"/>
      <c r="I9" s="62"/>
      <c r="J9" s="62"/>
      <c r="K9" s="62"/>
      <c r="N9" s="69"/>
      <c r="O9" s="48"/>
      <c r="P9" s="69"/>
      <c r="Q9" s="69"/>
      <c r="R9" s="69"/>
      <c r="S9" s="69"/>
      <c r="T9" s="69"/>
      <c r="U9" s="62"/>
      <c r="BX9" s="627" t="s">
        <v>281</v>
      </c>
      <c r="BY9" s="628"/>
      <c r="BZ9" s="624" t="s">
        <v>305</v>
      </c>
      <c r="CA9" s="624" t="s">
        <v>306</v>
      </c>
      <c r="CB9" s="632" t="s">
        <v>132</v>
      </c>
      <c r="CC9" s="621" t="s">
        <v>3</v>
      </c>
      <c r="CD9" s="621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02"/>
      <c r="FC9" s="615"/>
      <c r="FD9" s="615"/>
      <c r="FE9" s="615"/>
      <c r="FF9" s="615"/>
      <c r="FG9" s="615"/>
      <c r="FH9" s="615"/>
      <c r="FI9" s="615"/>
      <c r="FJ9" s="615"/>
      <c r="FK9" s="615"/>
      <c r="FL9" s="615"/>
      <c r="FM9" s="615"/>
      <c r="FN9" s="615"/>
      <c r="FO9" s="615"/>
      <c r="FP9" s="615"/>
      <c r="FQ9" s="615"/>
      <c r="FR9" s="615"/>
      <c r="FS9" s="615"/>
      <c r="FT9" s="615"/>
      <c r="FU9" s="615"/>
      <c r="FV9" s="615"/>
      <c r="FW9" s="615"/>
      <c r="FX9" s="615"/>
      <c r="FY9" s="615"/>
      <c r="FZ9" s="615"/>
      <c r="GA9" s="615"/>
      <c r="GB9" s="615"/>
      <c r="GC9" s="615"/>
      <c r="GD9" s="615"/>
      <c r="GE9" s="615"/>
      <c r="GF9" s="615"/>
      <c r="GG9" s="615"/>
      <c r="GH9" s="615"/>
      <c r="GI9" s="615"/>
      <c r="GJ9" s="615"/>
      <c r="GK9" s="615"/>
      <c r="GL9" s="615"/>
      <c r="GM9" s="602"/>
      <c r="GO9" s="615"/>
      <c r="GP9" s="615"/>
      <c r="GQ9" s="615"/>
      <c r="GR9" s="615"/>
      <c r="GS9" s="615"/>
      <c r="GT9" s="615"/>
      <c r="GU9" s="615"/>
      <c r="GV9" s="615"/>
      <c r="GW9" s="615"/>
      <c r="GX9" s="615"/>
      <c r="GY9" s="615"/>
      <c r="GZ9" s="615"/>
      <c r="HA9" s="615"/>
      <c r="HB9" s="615"/>
      <c r="HC9" s="615"/>
      <c r="HD9" s="615"/>
      <c r="HE9" s="615"/>
      <c r="HF9" s="615"/>
      <c r="HG9" s="615"/>
      <c r="HH9" s="615"/>
      <c r="HI9" s="615"/>
      <c r="HJ9" s="615"/>
      <c r="HK9" s="615"/>
      <c r="HL9" s="615"/>
      <c r="HM9" s="615"/>
      <c r="HN9" s="615"/>
      <c r="HO9" s="615"/>
      <c r="HP9" s="615"/>
      <c r="HQ9" s="615"/>
      <c r="HR9" s="615"/>
      <c r="HS9" s="615"/>
      <c r="HT9" s="615"/>
      <c r="HU9" s="615"/>
      <c r="HV9" s="615"/>
      <c r="HW9" s="615"/>
      <c r="HX9" s="615"/>
      <c r="HY9" s="602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35" t="s">
        <v>304</v>
      </c>
      <c r="BY10" s="629" t="s">
        <v>303</v>
      </c>
      <c r="BZ10" s="625"/>
      <c r="CA10" s="625"/>
      <c r="CB10" s="633"/>
      <c r="CC10" s="622"/>
      <c r="CD10" s="622"/>
      <c r="DM10" s="200"/>
      <c r="EZ10" s="602"/>
      <c r="FC10" s="614"/>
      <c r="FD10" s="614"/>
      <c r="FE10" s="614"/>
      <c r="FF10" s="614"/>
      <c r="FG10" s="614"/>
      <c r="FI10" s="614"/>
      <c r="FJ10" s="614"/>
      <c r="FK10" s="614"/>
      <c r="FL10" s="614"/>
      <c r="FM10" s="614"/>
      <c r="FO10" s="614"/>
      <c r="FP10" s="614"/>
      <c r="FQ10" s="614"/>
      <c r="FR10" s="614"/>
      <c r="FS10" s="614"/>
      <c r="FU10" s="614"/>
      <c r="FV10" s="614"/>
      <c r="FW10" s="614"/>
      <c r="FX10" s="614"/>
      <c r="FY10" s="614"/>
      <c r="GA10" s="614"/>
      <c r="GB10" s="614"/>
      <c r="GC10" s="614"/>
      <c r="GD10" s="614"/>
      <c r="GE10" s="614"/>
      <c r="GG10" s="614"/>
      <c r="GH10" s="614"/>
      <c r="GI10" s="614"/>
      <c r="GJ10" s="614"/>
      <c r="GK10" s="614"/>
      <c r="GM10" s="602"/>
      <c r="GO10" s="614"/>
      <c r="GP10" s="614"/>
      <c r="GQ10" s="614"/>
      <c r="GR10" s="614"/>
      <c r="GS10" s="614"/>
      <c r="GT10" s="25"/>
      <c r="GU10" s="614"/>
      <c r="GV10" s="614"/>
      <c r="GW10" s="614"/>
      <c r="GX10" s="614"/>
      <c r="GY10" s="614"/>
      <c r="GZ10" s="25"/>
      <c r="HA10" s="614"/>
      <c r="HB10" s="614"/>
      <c r="HC10" s="614"/>
      <c r="HD10" s="614"/>
      <c r="HE10" s="614"/>
      <c r="HF10" s="25"/>
      <c r="HG10" s="614"/>
      <c r="HH10" s="614"/>
      <c r="HI10" s="614"/>
      <c r="HJ10" s="614"/>
      <c r="HK10" s="614"/>
      <c r="HL10" s="25"/>
      <c r="HM10" s="614"/>
      <c r="HN10" s="614"/>
      <c r="HO10" s="614"/>
      <c r="HP10" s="614"/>
      <c r="HQ10" s="614"/>
      <c r="HR10" s="25"/>
      <c r="HS10" s="614"/>
      <c r="HT10" s="614"/>
      <c r="HU10" s="614"/>
      <c r="HV10" s="614"/>
      <c r="HW10" s="614"/>
      <c r="HX10" s="25"/>
      <c r="HY10" s="602"/>
    </row>
    <row r="11" spans="1:233" ht="18.75" customHeight="1" thickBot="1">
      <c r="B11" s="25"/>
      <c r="C11" s="25"/>
      <c r="D11" s="25"/>
      <c r="E11" s="25"/>
      <c r="F11" s="652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  <c r="AY11" s="653"/>
      <c r="AZ11" s="653"/>
      <c r="BA11" s="653"/>
      <c r="BB11" s="653"/>
      <c r="BC11" s="653"/>
      <c r="BD11" s="653"/>
      <c r="BE11" s="653"/>
      <c r="BF11" s="653"/>
      <c r="BG11" s="653"/>
      <c r="BH11" s="653"/>
      <c r="BI11" s="653"/>
      <c r="BJ11" s="653"/>
      <c r="BK11" s="653"/>
      <c r="BL11" s="653"/>
      <c r="BM11" s="653"/>
      <c r="BN11" s="653"/>
      <c r="BO11" s="653"/>
      <c r="BP11" s="653"/>
      <c r="BQ11" s="653"/>
      <c r="BR11" s="653"/>
      <c r="BS11" s="653"/>
      <c r="BT11" s="653"/>
      <c r="BU11" s="653"/>
      <c r="BV11" s="653"/>
      <c r="BW11" s="654"/>
      <c r="BX11" s="636"/>
      <c r="BY11" s="630"/>
      <c r="BZ11" s="625"/>
      <c r="CA11" s="625"/>
      <c r="CB11" s="633"/>
      <c r="CC11" s="622"/>
      <c r="CD11" s="622"/>
      <c r="DM11" s="200"/>
      <c r="EZ11" s="602"/>
      <c r="FC11" s="614"/>
      <c r="FD11" s="614"/>
      <c r="FE11" s="614"/>
      <c r="FF11" s="614"/>
      <c r="FG11" s="614"/>
      <c r="FI11" s="614"/>
      <c r="FJ11" s="614"/>
      <c r="FK11" s="614"/>
      <c r="FL11" s="614"/>
      <c r="FM11" s="614"/>
      <c r="FO11" s="614"/>
      <c r="FP11" s="614"/>
      <c r="FQ11" s="614"/>
      <c r="FR11" s="614"/>
      <c r="FS11" s="614"/>
      <c r="FU11" s="614"/>
      <c r="FV11" s="614"/>
      <c r="FW11" s="614"/>
      <c r="FX11" s="614"/>
      <c r="FY11" s="614"/>
      <c r="GA11" s="614"/>
      <c r="GB11" s="614"/>
      <c r="GC11" s="614"/>
      <c r="GD11" s="614"/>
      <c r="GE11" s="614"/>
      <c r="GG11" s="614"/>
      <c r="GH11" s="614"/>
      <c r="GI11" s="614"/>
      <c r="GJ11" s="614"/>
      <c r="GK11" s="614"/>
      <c r="GM11" s="602"/>
      <c r="GO11" s="614"/>
      <c r="GP11" s="614"/>
      <c r="GQ11" s="614"/>
      <c r="GR11" s="614"/>
      <c r="GS11" s="614"/>
      <c r="GT11" s="25"/>
      <c r="GU11" s="614"/>
      <c r="GV11" s="614"/>
      <c r="GW11" s="614"/>
      <c r="GX11" s="614"/>
      <c r="GY11" s="614"/>
      <c r="GZ11" s="25"/>
      <c r="HA11" s="614"/>
      <c r="HB11" s="614"/>
      <c r="HC11" s="614"/>
      <c r="HD11" s="614"/>
      <c r="HE11" s="614"/>
      <c r="HF11" s="25"/>
      <c r="HG11" s="614"/>
      <c r="HH11" s="614"/>
      <c r="HI11" s="614"/>
      <c r="HJ11" s="614"/>
      <c r="HK11" s="614"/>
      <c r="HL11" s="25"/>
      <c r="HM11" s="614"/>
      <c r="HN11" s="614"/>
      <c r="HO11" s="614"/>
      <c r="HP11" s="614"/>
      <c r="HQ11" s="614"/>
      <c r="HR11" s="25"/>
      <c r="HS11" s="614"/>
      <c r="HT11" s="614"/>
      <c r="HU11" s="614"/>
      <c r="HV11" s="614"/>
      <c r="HW11" s="614"/>
      <c r="HX11" s="25"/>
      <c r="HY11" s="602"/>
    </row>
    <row r="12" spans="1:233" ht="24" customHeight="1" thickBot="1">
      <c r="A12" s="617"/>
      <c r="B12" s="617"/>
      <c r="C12" s="617"/>
      <c r="D12" s="617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36"/>
      <c r="BY12" s="630"/>
      <c r="BZ12" s="625"/>
      <c r="CA12" s="625"/>
      <c r="CB12" s="633"/>
      <c r="CC12" s="622"/>
      <c r="CD12" s="622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602"/>
      <c r="FC12" s="63"/>
      <c r="FD12" s="63"/>
      <c r="FE12" s="63"/>
      <c r="FF12" s="63"/>
      <c r="FG12" s="63"/>
      <c r="FI12" s="63"/>
      <c r="FJ12" s="63"/>
      <c r="FK12" s="63"/>
      <c r="FL12" s="63"/>
      <c r="FM12" s="63"/>
      <c r="FO12" s="63"/>
      <c r="FP12" s="63"/>
      <c r="FQ12" s="63"/>
      <c r="FR12" s="63"/>
      <c r="FS12" s="63"/>
      <c r="FU12" s="63"/>
      <c r="FV12" s="63"/>
      <c r="FW12" s="63"/>
      <c r="FX12" s="63"/>
      <c r="FY12" s="63"/>
      <c r="GA12" s="63"/>
      <c r="GB12" s="63"/>
      <c r="GC12" s="63"/>
      <c r="GD12" s="63"/>
      <c r="GE12" s="63"/>
      <c r="GG12" s="63"/>
      <c r="GH12" s="63"/>
      <c r="GI12" s="63"/>
      <c r="GJ12" s="63"/>
      <c r="GK12" s="63"/>
      <c r="GM12" s="602"/>
      <c r="GO12" s="63"/>
      <c r="GP12" s="63"/>
      <c r="GQ12" s="63"/>
      <c r="GR12" s="63"/>
      <c r="GS12" s="63"/>
      <c r="GT12" s="25"/>
      <c r="GU12" s="63"/>
      <c r="GV12" s="63"/>
      <c r="GW12" s="63"/>
      <c r="GX12" s="63"/>
      <c r="GY12" s="63"/>
      <c r="GZ12" s="25"/>
      <c r="HA12" s="63"/>
      <c r="HB12" s="63"/>
      <c r="HC12" s="63"/>
      <c r="HD12" s="63"/>
      <c r="HE12" s="63"/>
      <c r="HF12" s="25"/>
      <c r="HG12" s="63"/>
      <c r="HH12" s="63"/>
      <c r="HI12" s="63"/>
      <c r="HJ12" s="63"/>
      <c r="HK12" s="63"/>
      <c r="HL12" s="25"/>
      <c r="HM12" s="63"/>
      <c r="HN12" s="63"/>
      <c r="HO12" s="63"/>
      <c r="HP12" s="63"/>
      <c r="HQ12" s="63"/>
      <c r="HR12" s="25"/>
      <c r="HS12" s="63"/>
      <c r="HT12" s="63"/>
      <c r="HU12" s="63"/>
      <c r="HV12" s="63"/>
      <c r="HW12" s="63"/>
      <c r="HX12" s="25"/>
      <c r="HY12" s="602"/>
    </row>
    <row r="13" spans="1:233" ht="42.75" customHeight="1" thickBot="1">
      <c r="A13" s="453" t="s">
        <v>0</v>
      </c>
      <c r="B13" s="618" t="s">
        <v>200</v>
      </c>
      <c r="C13" s="619"/>
      <c r="D13" s="620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37"/>
      <c r="BY13" s="631"/>
      <c r="BZ13" s="626"/>
      <c r="CA13" s="626"/>
      <c r="CB13" s="634"/>
      <c r="CC13" s="623"/>
      <c r="CD13" s="623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111" t="s">
        <v>245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602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602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602"/>
    </row>
    <row r="14" spans="1:233" ht="21.75" customHeight="1">
      <c r="A14" s="188">
        <f>--SUBTOTAL(2,CN$13:CN14)</f>
        <v>1</v>
      </c>
      <c r="B14" s="641" t="str">
        <f>IF(FILIACIÓN!B11="","",UPPER(FILIACIÓN!B11))</f>
        <v/>
      </c>
      <c r="C14" s="642"/>
      <c r="D14" s="643"/>
      <c r="E14" s="445" t="str">
        <f>IFERROR(CD14,"")</f>
        <v/>
      </c>
      <c r="F14" s="167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9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62"/>
      <c r="CF14" s="436"/>
      <c r="CG14" s="437"/>
      <c r="CH14" s="437"/>
      <c r="CI14" s="437"/>
      <c r="CJ14" s="437"/>
      <c r="CK14" s="43"/>
      <c r="CL14" s="43"/>
      <c r="CM14" s="26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63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63"/>
    </row>
    <row r="15" spans="1:233" ht="21.75" customHeight="1">
      <c r="A15" s="189">
        <f>--SUBTOTAL(2,CN$13:CN15)</f>
        <v>2</v>
      </c>
      <c r="B15" s="638" t="str">
        <f>IF(FILIACIÓN!B12="","",UPPER(FILIACIÓN!B12))</f>
        <v/>
      </c>
      <c r="C15" s="639"/>
      <c r="D15" s="640"/>
      <c r="E15" s="446" t="str">
        <f t="shared" ref="E15:E63" si="3">IFERROR(CD15,"")</f>
        <v/>
      </c>
      <c r="F15" s="170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2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62"/>
      <c r="CF15" s="436"/>
      <c r="CG15" s="437"/>
      <c r="CH15" s="437"/>
      <c r="CI15" s="437"/>
      <c r="CJ15" s="437"/>
      <c r="CK15" s="43"/>
      <c r="CL15" s="43"/>
      <c r="CM15" s="26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63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63"/>
    </row>
    <row r="16" spans="1:233" ht="21.75" customHeight="1">
      <c r="A16" s="189">
        <f>--SUBTOTAL(2,CN$13:CN16)</f>
        <v>3</v>
      </c>
      <c r="B16" s="638" t="str">
        <f>IF(FILIACIÓN!B13="","",UPPER(FILIACIÓN!B13))</f>
        <v/>
      </c>
      <c r="C16" s="639"/>
      <c r="D16" s="640"/>
      <c r="E16" s="446" t="str">
        <f t="shared" si="3"/>
        <v/>
      </c>
      <c r="F16" s="170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2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62"/>
      <c r="CF16" s="436"/>
      <c r="CG16" s="437"/>
      <c r="CH16" s="437"/>
      <c r="CI16" s="437"/>
      <c r="CJ16" s="437"/>
      <c r="CK16" s="43"/>
      <c r="CL16" s="43"/>
      <c r="CM16" s="26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63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63"/>
    </row>
    <row r="17" spans="1:233" ht="21.75" customHeight="1">
      <c r="A17" s="189">
        <f>--SUBTOTAL(2,CN$13:CN17)</f>
        <v>4</v>
      </c>
      <c r="B17" s="638" t="str">
        <f>IF(FILIACIÓN!B14="","",UPPER(FILIACIÓN!B14))</f>
        <v/>
      </c>
      <c r="C17" s="639"/>
      <c r="D17" s="640"/>
      <c r="E17" s="446" t="str">
        <f t="shared" si="3"/>
        <v/>
      </c>
      <c r="F17" s="170"/>
      <c r="G17" s="171"/>
      <c r="H17" s="171"/>
      <c r="I17" s="171"/>
      <c r="J17" s="171"/>
      <c r="K17" s="17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2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62"/>
      <c r="CF17" s="436"/>
      <c r="CG17" s="437"/>
      <c r="CH17" s="437"/>
      <c r="CI17" s="437"/>
      <c r="CJ17" s="437"/>
      <c r="CK17" s="43"/>
      <c r="CL17" s="43"/>
      <c r="CM17" s="26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63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63"/>
    </row>
    <row r="18" spans="1:233" ht="21.75" customHeight="1">
      <c r="A18" s="189">
        <f>--SUBTOTAL(2,CN$13:CN18)</f>
        <v>5</v>
      </c>
      <c r="B18" s="638" t="str">
        <f>IF(FILIACIÓN!B15="","",UPPER(FILIACIÓN!B15))</f>
        <v/>
      </c>
      <c r="C18" s="639"/>
      <c r="D18" s="640"/>
      <c r="E18" s="446" t="str">
        <f t="shared" si="3"/>
        <v/>
      </c>
      <c r="F18" s="170"/>
      <c r="G18" s="171"/>
      <c r="H18" s="171"/>
      <c r="I18" s="171"/>
      <c r="J18" s="171"/>
      <c r="K18" s="171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171"/>
      <c r="AJ18" s="171"/>
      <c r="AK18" s="171"/>
      <c r="AL18" s="171"/>
      <c r="AM18" s="171"/>
      <c r="AN18" s="171"/>
      <c r="AO18" s="171"/>
      <c r="AP18" s="171"/>
      <c r="AQ18" s="171"/>
      <c r="AR18" s="171"/>
      <c r="AS18" s="171"/>
      <c r="AT18" s="171"/>
      <c r="AU18" s="171"/>
      <c r="AV18" s="171"/>
      <c r="AW18" s="171"/>
      <c r="AX18" s="171"/>
      <c r="AY18" s="171"/>
      <c r="AZ18" s="171"/>
      <c r="BA18" s="171"/>
      <c r="BB18" s="171"/>
      <c r="BC18" s="171"/>
      <c r="BD18" s="171"/>
      <c r="BE18" s="171"/>
      <c r="BF18" s="171"/>
      <c r="BG18" s="171"/>
      <c r="BH18" s="171"/>
      <c r="BI18" s="171"/>
      <c r="BJ18" s="171"/>
      <c r="BK18" s="171"/>
      <c r="BL18" s="171"/>
      <c r="BM18" s="171"/>
      <c r="BN18" s="171"/>
      <c r="BO18" s="171"/>
      <c r="BP18" s="171"/>
      <c r="BQ18" s="171"/>
      <c r="BR18" s="171"/>
      <c r="BS18" s="171"/>
      <c r="BT18" s="171"/>
      <c r="BU18" s="171"/>
      <c r="BV18" s="171"/>
      <c r="BW18" s="172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62"/>
      <c r="CF18" s="436"/>
      <c r="CG18" s="437"/>
      <c r="CH18" s="437"/>
      <c r="CI18" s="437"/>
      <c r="CJ18" s="437"/>
      <c r="CK18" s="43"/>
      <c r="CL18" s="43"/>
      <c r="CM18" s="26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63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63"/>
    </row>
    <row r="19" spans="1:233" ht="21.75" customHeight="1">
      <c r="A19" s="189">
        <f>--SUBTOTAL(2,CN$13:CN19)</f>
        <v>6</v>
      </c>
      <c r="B19" s="638" t="str">
        <f>IF(FILIACIÓN!B16="","",UPPER(FILIACIÓN!B16))</f>
        <v/>
      </c>
      <c r="C19" s="639"/>
      <c r="D19" s="640"/>
      <c r="E19" s="446" t="str">
        <f t="shared" si="3"/>
        <v/>
      </c>
      <c r="F19" s="170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  <c r="AK19" s="171"/>
      <c r="AL19" s="171"/>
      <c r="AM19" s="171"/>
      <c r="AN19" s="171"/>
      <c r="AO19" s="171"/>
      <c r="AP19" s="171"/>
      <c r="AQ19" s="171"/>
      <c r="AR19" s="171"/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1"/>
      <c r="BV19" s="171"/>
      <c r="BW19" s="172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62"/>
      <c r="CF19" s="436"/>
      <c r="CG19" s="437"/>
      <c r="CH19" s="437"/>
      <c r="CI19" s="437"/>
      <c r="CJ19" s="437"/>
      <c r="CK19" s="43"/>
      <c r="CL19" s="43"/>
      <c r="CM19" s="26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63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63"/>
    </row>
    <row r="20" spans="1:233" ht="21.75" customHeight="1">
      <c r="A20" s="189">
        <f>--SUBTOTAL(2,CN$13:CN20)</f>
        <v>7</v>
      </c>
      <c r="B20" s="638" t="str">
        <f>IF(FILIACIÓN!B17="","",UPPER(FILIACIÓN!B17))</f>
        <v/>
      </c>
      <c r="C20" s="639"/>
      <c r="D20" s="640"/>
      <c r="E20" s="446" t="str">
        <f t="shared" si="3"/>
        <v/>
      </c>
      <c r="F20" s="170"/>
      <c r="G20" s="171"/>
      <c r="H20" s="171"/>
      <c r="I20" s="171"/>
      <c r="J20" s="171"/>
      <c r="K20" s="171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171"/>
      <c r="AJ20" s="171"/>
      <c r="AK20" s="171"/>
      <c r="AL20" s="171"/>
      <c r="AM20" s="171"/>
      <c r="AN20" s="171"/>
      <c r="AO20" s="171"/>
      <c r="AP20" s="171"/>
      <c r="AQ20" s="171"/>
      <c r="AR20" s="171"/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1"/>
      <c r="BV20" s="171"/>
      <c r="BW20" s="172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62"/>
      <c r="CF20" s="436"/>
      <c r="CG20" s="437"/>
      <c r="CH20" s="437"/>
      <c r="CI20" s="437"/>
      <c r="CJ20" s="437"/>
      <c r="CK20" s="43"/>
      <c r="CL20" s="43"/>
      <c r="CM20" s="26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63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63"/>
    </row>
    <row r="21" spans="1:233" ht="21.75" customHeight="1">
      <c r="A21" s="189">
        <f>--SUBTOTAL(2,CN$13:CN21)</f>
        <v>8</v>
      </c>
      <c r="B21" s="638" t="str">
        <f>IF(FILIACIÓN!B18="","",UPPER(FILIACIÓN!B18))</f>
        <v/>
      </c>
      <c r="C21" s="639"/>
      <c r="D21" s="640"/>
      <c r="E21" s="446" t="str">
        <f t="shared" si="3"/>
        <v/>
      </c>
      <c r="F21" s="170"/>
      <c r="G21" s="171"/>
      <c r="H21" s="171"/>
      <c r="I21" s="171"/>
      <c r="J21" s="171"/>
      <c r="K21" s="171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171"/>
      <c r="AJ21" s="171"/>
      <c r="AK21" s="171"/>
      <c r="AL21" s="171"/>
      <c r="AM21" s="171"/>
      <c r="AN21" s="171"/>
      <c r="AO21" s="171"/>
      <c r="AP21" s="171"/>
      <c r="AQ21" s="171"/>
      <c r="AR21" s="171"/>
      <c r="AS21" s="171"/>
      <c r="AT21" s="171"/>
      <c r="AU21" s="171"/>
      <c r="AV21" s="171"/>
      <c r="AW21" s="171"/>
      <c r="AX21" s="171"/>
      <c r="AY21" s="171"/>
      <c r="AZ21" s="171"/>
      <c r="BA21" s="171"/>
      <c r="BB21" s="171"/>
      <c r="BC21" s="171"/>
      <c r="BD21" s="171"/>
      <c r="BE21" s="171"/>
      <c r="BF21" s="171"/>
      <c r="BG21" s="171"/>
      <c r="BH21" s="171"/>
      <c r="BI21" s="171"/>
      <c r="BJ21" s="171"/>
      <c r="BK21" s="171"/>
      <c r="BL21" s="171"/>
      <c r="BM21" s="171"/>
      <c r="BN21" s="171"/>
      <c r="BO21" s="171"/>
      <c r="BP21" s="171"/>
      <c r="BQ21" s="171"/>
      <c r="BR21" s="171"/>
      <c r="BS21" s="171"/>
      <c r="BT21" s="171"/>
      <c r="BU21" s="171"/>
      <c r="BV21" s="171"/>
      <c r="BW21" s="172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62"/>
      <c r="CF21" s="436"/>
      <c r="CG21" s="437"/>
      <c r="CH21" s="437"/>
      <c r="CI21" s="437"/>
      <c r="CJ21" s="437"/>
      <c r="CK21" s="43"/>
      <c r="CL21" s="43"/>
      <c r="CM21" s="26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63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63"/>
    </row>
    <row r="22" spans="1:233" ht="21.75" customHeight="1">
      <c r="A22" s="189">
        <f>--SUBTOTAL(2,CN$13:CN22)</f>
        <v>9</v>
      </c>
      <c r="B22" s="638" t="str">
        <f>IF(FILIACIÓN!B19="","",UPPER(FILIACIÓN!B19))</f>
        <v/>
      </c>
      <c r="C22" s="639"/>
      <c r="D22" s="640"/>
      <c r="E22" s="446" t="str">
        <f t="shared" si="3"/>
        <v/>
      </c>
      <c r="F22" s="170"/>
      <c r="G22" s="171"/>
      <c r="H22" s="171"/>
      <c r="I22" s="171"/>
      <c r="J22" s="171"/>
      <c r="K22" s="171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2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62"/>
      <c r="CF22" s="436"/>
      <c r="CG22" s="437"/>
      <c r="CH22" s="437"/>
      <c r="CI22" s="437"/>
      <c r="CJ22" s="437"/>
      <c r="CK22" s="43"/>
      <c r="CL22" s="43"/>
      <c r="CM22" s="26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63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63"/>
    </row>
    <row r="23" spans="1:233" ht="21.75" customHeight="1">
      <c r="A23" s="189">
        <f>--SUBTOTAL(2,CN$13:CN23)</f>
        <v>10</v>
      </c>
      <c r="B23" s="638" t="str">
        <f>IF(FILIACIÓN!B20="","",UPPER(FILIACIÓN!B20))</f>
        <v/>
      </c>
      <c r="C23" s="639"/>
      <c r="D23" s="640"/>
      <c r="E23" s="446" t="str">
        <f t="shared" si="3"/>
        <v/>
      </c>
      <c r="F23" s="170"/>
      <c r="G23" s="171"/>
      <c r="H23" s="171"/>
      <c r="I23" s="171"/>
      <c r="J23" s="171"/>
      <c r="K23" s="17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171"/>
      <c r="AJ23" s="171"/>
      <c r="AK23" s="171"/>
      <c r="AL23" s="171"/>
      <c r="AM23" s="171"/>
      <c r="AN23" s="171"/>
      <c r="AO23" s="171"/>
      <c r="AP23" s="171"/>
      <c r="AQ23" s="171"/>
      <c r="AR23" s="171"/>
      <c r="AS23" s="171"/>
      <c r="AT23" s="171"/>
      <c r="AU23" s="171"/>
      <c r="AV23" s="171"/>
      <c r="AW23" s="171"/>
      <c r="AX23" s="171"/>
      <c r="AY23" s="171"/>
      <c r="AZ23" s="171"/>
      <c r="BA23" s="171"/>
      <c r="BB23" s="171"/>
      <c r="BC23" s="171"/>
      <c r="BD23" s="171"/>
      <c r="BE23" s="171"/>
      <c r="BF23" s="171"/>
      <c r="BG23" s="171"/>
      <c r="BH23" s="171"/>
      <c r="BI23" s="171"/>
      <c r="BJ23" s="171"/>
      <c r="BK23" s="171"/>
      <c r="BL23" s="171"/>
      <c r="BM23" s="171"/>
      <c r="BN23" s="171"/>
      <c r="BO23" s="171"/>
      <c r="BP23" s="171"/>
      <c r="BQ23" s="171"/>
      <c r="BR23" s="171"/>
      <c r="BS23" s="171"/>
      <c r="BT23" s="171"/>
      <c r="BU23" s="171"/>
      <c r="BV23" s="171"/>
      <c r="BW23" s="172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62"/>
      <c r="CF23" s="436"/>
      <c r="CG23" s="437"/>
      <c r="CH23" s="437"/>
      <c r="CI23" s="437"/>
      <c r="CJ23" s="437"/>
      <c r="CK23" s="43"/>
      <c r="CL23" s="43"/>
      <c r="CM23" s="26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63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63"/>
    </row>
    <row r="24" spans="1:233" ht="21.75" customHeight="1">
      <c r="A24" s="189">
        <f>--SUBTOTAL(2,CN$13:CN24)</f>
        <v>11</v>
      </c>
      <c r="B24" s="638" t="str">
        <f>IF(FILIACIÓN!B21="","",UPPER(FILIACIÓN!B21))</f>
        <v/>
      </c>
      <c r="C24" s="639"/>
      <c r="D24" s="640"/>
      <c r="E24" s="446" t="str">
        <f t="shared" si="3"/>
        <v/>
      </c>
      <c r="F24" s="170"/>
      <c r="G24" s="171"/>
      <c r="H24" s="171"/>
      <c r="I24" s="171"/>
      <c r="J24" s="171"/>
      <c r="K24" s="17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171"/>
      <c r="AJ24" s="171"/>
      <c r="AK24" s="171"/>
      <c r="AL24" s="171"/>
      <c r="AM24" s="171"/>
      <c r="AN24" s="171"/>
      <c r="AO24" s="171"/>
      <c r="AP24" s="171"/>
      <c r="AQ24" s="171"/>
      <c r="AR24" s="171"/>
      <c r="AS24" s="171"/>
      <c r="AT24" s="171"/>
      <c r="AU24" s="171"/>
      <c r="AV24" s="171"/>
      <c r="AW24" s="171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171"/>
      <c r="BL24" s="171"/>
      <c r="BM24" s="171"/>
      <c r="BN24" s="171"/>
      <c r="BO24" s="171"/>
      <c r="BP24" s="171"/>
      <c r="BQ24" s="171"/>
      <c r="BR24" s="171"/>
      <c r="BS24" s="171"/>
      <c r="BT24" s="171"/>
      <c r="BU24" s="171"/>
      <c r="BV24" s="171"/>
      <c r="BW24" s="172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62"/>
      <c r="CF24" s="436"/>
      <c r="CG24" s="437"/>
      <c r="CH24" s="437"/>
      <c r="CI24" s="437"/>
      <c r="CJ24" s="437"/>
      <c r="CK24" s="43"/>
      <c r="CL24" s="43"/>
      <c r="CM24" s="26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63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63"/>
    </row>
    <row r="25" spans="1:233" ht="21.75" customHeight="1">
      <c r="A25" s="189">
        <f>--SUBTOTAL(2,CN$13:CN25)</f>
        <v>12</v>
      </c>
      <c r="B25" s="638" t="str">
        <f>IF(FILIACIÓN!B22="","",UPPER(FILIACIÓN!B22))</f>
        <v/>
      </c>
      <c r="C25" s="639"/>
      <c r="D25" s="640"/>
      <c r="E25" s="446" t="str">
        <f t="shared" si="3"/>
        <v/>
      </c>
      <c r="F25" s="170"/>
      <c r="G25" s="171"/>
      <c r="H25" s="171"/>
      <c r="I25" s="171"/>
      <c r="J25" s="171"/>
      <c r="K25" s="17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171"/>
      <c r="AJ25" s="171"/>
      <c r="AK25" s="171"/>
      <c r="AL25" s="171"/>
      <c r="AM25" s="171"/>
      <c r="AN25" s="171"/>
      <c r="AO25" s="171"/>
      <c r="AP25" s="171"/>
      <c r="AQ25" s="171"/>
      <c r="AR25" s="171"/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1"/>
      <c r="BV25" s="171"/>
      <c r="BW25" s="172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62"/>
      <c r="CF25" s="436"/>
      <c r="CG25" s="437"/>
      <c r="CH25" s="437"/>
      <c r="CI25" s="437"/>
      <c r="CJ25" s="437"/>
      <c r="CK25" s="43"/>
      <c r="CL25" s="43"/>
      <c r="CM25" s="26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63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63"/>
    </row>
    <row r="26" spans="1:233" ht="21.75" customHeight="1">
      <c r="A26" s="189">
        <f>--SUBTOTAL(2,CN$13:CN26)</f>
        <v>13</v>
      </c>
      <c r="B26" s="638" t="str">
        <f>IF(FILIACIÓN!B23="","",UPPER(FILIACIÓN!B23))</f>
        <v/>
      </c>
      <c r="C26" s="639"/>
      <c r="D26" s="640"/>
      <c r="E26" s="446" t="str">
        <f t="shared" si="3"/>
        <v/>
      </c>
      <c r="F26" s="170"/>
      <c r="G26" s="171"/>
      <c r="H26" s="171"/>
      <c r="I26" s="171"/>
      <c r="J26" s="171"/>
      <c r="K26" s="17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171"/>
      <c r="AJ26" s="171"/>
      <c r="AK26" s="171"/>
      <c r="AL26" s="171"/>
      <c r="AM26" s="171"/>
      <c r="AN26" s="171"/>
      <c r="AO26" s="171"/>
      <c r="AP26" s="171"/>
      <c r="AQ26" s="171"/>
      <c r="AR26" s="171"/>
      <c r="AS26" s="171"/>
      <c r="AT26" s="171"/>
      <c r="AU26" s="171"/>
      <c r="AV26" s="171"/>
      <c r="AW26" s="171"/>
      <c r="AX26" s="171"/>
      <c r="AY26" s="171"/>
      <c r="AZ26" s="171"/>
      <c r="BA26" s="171"/>
      <c r="BB26" s="171"/>
      <c r="BC26" s="171"/>
      <c r="BD26" s="171"/>
      <c r="BE26" s="171"/>
      <c r="BF26" s="171"/>
      <c r="BG26" s="171"/>
      <c r="BH26" s="171"/>
      <c r="BI26" s="171"/>
      <c r="BJ26" s="171"/>
      <c r="BK26" s="171"/>
      <c r="BL26" s="171"/>
      <c r="BM26" s="171"/>
      <c r="BN26" s="171"/>
      <c r="BO26" s="171"/>
      <c r="BP26" s="171"/>
      <c r="BQ26" s="171"/>
      <c r="BR26" s="171"/>
      <c r="BS26" s="171"/>
      <c r="BT26" s="171"/>
      <c r="BU26" s="171"/>
      <c r="BV26" s="171"/>
      <c r="BW26" s="172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62"/>
      <c r="CF26" s="436"/>
      <c r="CG26" s="437"/>
      <c r="CH26" s="437"/>
      <c r="CI26" s="437"/>
      <c r="CJ26" s="437"/>
      <c r="CK26" s="43"/>
      <c r="CL26" s="43"/>
      <c r="CM26" s="26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63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63"/>
    </row>
    <row r="27" spans="1:233" ht="21.75" customHeight="1">
      <c r="A27" s="189">
        <f>--SUBTOTAL(2,CN$13:CN27)</f>
        <v>14</v>
      </c>
      <c r="B27" s="638" t="str">
        <f>IF(FILIACIÓN!B24="","",UPPER(FILIACIÓN!B24))</f>
        <v/>
      </c>
      <c r="C27" s="639"/>
      <c r="D27" s="640"/>
      <c r="E27" s="446" t="str">
        <f t="shared" si="3"/>
        <v/>
      </c>
      <c r="F27" s="170"/>
      <c r="G27" s="171"/>
      <c r="H27" s="171"/>
      <c r="I27" s="171"/>
      <c r="J27" s="171"/>
      <c r="K27" s="17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2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62"/>
      <c r="CF27" s="436"/>
      <c r="CG27" s="437"/>
      <c r="CH27" s="437"/>
      <c r="CI27" s="437"/>
      <c r="CJ27" s="437"/>
      <c r="CK27" s="43"/>
      <c r="CL27" s="43"/>
      <c r="CM27" s="26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63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63"/>
    </row>
    <row r="28" spans="1:233" ht="21.75" customHeight="1">
      <c r="A28" s="189">
        <f>--SUBTOTAL(2,CN$13:CN28)</f>
        <v>15</v>
      </c>
      <c r="B28" s="638" t="str">
        <f>IF(FILIACIÓN!B25="","",UPPER(FILIACIÓN!B25))</f>
        <v/>
      </c>
      <c r="C28" s="639"/>
      <c r="D28" s="640"/>
      <c r="E28" s="446" t="str">
        <f t="shared" si="3"/>
        <v/>
      </c>
      <c r="F28" s="170"/>
      <c r="G28" s="171"/>
      <c r="H28" s="171"/>
      <c r="I28" s="171"/>
      <c r="J28" s="171"/>
      <c r="K28" s="17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171"/>
      <c r="AJ28" s="171"/>
      <c r="AK28" s="171"/>
      <c r="AL28" s="171"/>
      <c r="AM28" s="171"/>
      <c r="AN28" s="171"/>
      <c r="AO28" s="171"/>
      <c r="AP28" s="171"/>
      <c r="AQ28" s="171"/>
      <c r="AR28" s="171"/>
      <c r="AS28" s="171"/>
      <c r="AT28" s="171"/>
      <c r="AU28" s="171"/>
      <c r="AV28" s="171"/>
      <c r="AW28" s="171"/>
      <c r="AX28" s="171"/>
      <c r="AY28" s="171"/>
      <c r="AZ28" s="171"/>
      <c r="BA28" s="171"/>
      <c r="BB28" s="171"/>
      <c r="BC28" s="171"/>
      <c r="BD28" s="171"/>
      <c r="BE28" s="171"/>
      <c r="BF28" s="171"/>
      <c r="BG28" s="171"/>
      <c r="BH28" s="171"/>
      <c r="BI28" s="171"/>
      <c r="BJ28" s="171"/>
      <c r="BK28" s="171"/>
      <c r="BL28" s="171"/>
      <c r="BM28" s="171"/>
      <c r="BN28" s="171"/>
      <c r="BO28" s="171"/>
      <c r="BP28" s="171"/>
      <c r="BQ28" s="171"/>
      <c r="BR28" s="171"/>
      <c r="BS28" s="171"/>
      <c r="BT28" s="171"/>
      <c r="BU28" s="171"/>
      <c r="BV28" s="171"/>
      <c r="BW28" s="172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62"/>
      <c r="CF28" s="436"/>
      <c r="CG28" s="437"/>
      <c r="CH28" s="437"/>
      <c r="CI28" s="437"/>
      <c r="CJ28" s="437"/>
      <c r="CK28" s="43"/>
      <c r="CL28" s="43"/>
      <c r="CM28" s="26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63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63"/>
    </row>
    <row r="29" spans="1:233" ht="21.75" customHeight="1">
      <c r="A29" s="189">
        <f>--SUBTOTAL(2,CN$13:CN29)</f>
        <v>16</v>
      </c>
      <c r="B29" s="638" t="str">
        <f>IF(FILIACIÓN!B26="","",UPPER(FILIACIÓN!B26))</f>
        <v/>
      </c>
      <c r="C29" s="639"/>
      <c r="D29" s="640"/>
      <c r="E29" s="446" t="str">
        <f t="shared" si="3"/>
        <v/>
      </c>
      <c r="F29" s="170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171"/>
      <c r="AJ29" s="171"/>
      <c r="AK29" s="171"/>
      <c r="AL29" s="171"/>
      <c r="AM29" s="171"/>
      <c r="AN29" s="171"/>
      <c r="AO29" s="171"/>
      <c r="AP29" s="171"/>
      <c r="AQ29" s="171"/>
      <c r="AR29" s="171"/>
      <c r="AS29" s="171"/>
      <c r="AT29" s="171"/>
      <c r="AU29" s="171"/>
      <c r="AV29" s="171"/>
      <c r="AW29" s="171"/>
      <c r="AX29" s="171"/>
      <c r="AY29" s="171"/>
      <c r="AZ29" s="171"/>
      <c r="BA29" s="171"/>
      <c r="BB29" s="171"/>
      <c r="BC29" s="171"/>
      <c r="BD29" s="171"/>
      <c r="BE29" s="171"/>
      <c r="BF29" s="171"/>
      <c r="BG29" s="171"/>
      <c r="BH29" s="171"/>
      <c r="BI29" s="171"/>
      <c r="BJ29" s="171"/>
      <c r="BK29" s="171"/>
      <c r="BL29" s="171"/>
      <c r="BM29" s="171"/>
      <c r="BN29" s="171"/>
      <c r="BO29" s="171"/>
      <c r="BP29" s="171"/>
      <c r="BQ29" s="171"/>
      <c r="BR29" s="171"/>
      <c r="BS29" s="171"/>
      <c r="BT29" s="171"/>
      <c r="BU29" s="171"/>
      <c r="BV29" s="171"/>
      <c r="BW29" s="172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62"/>
      <c r="CF29" s="436"/>
      <c r="CG29" s="437"/>
      <c r="CH29" s="437"/>
      <c r="CI29" s="437"/>
      <c r="CJ29" s="437"/>
      <c r="CK29" s="43"/>
      <c r="CL29" s="43"/>
      <c r="CM29" s="26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63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63"/>
    </row>
    <row r="30" spans="1:233" ht="21.75" customHeight="1">
      <c r="A30" s="189">
        <f>--SUBTOTAL(2,CN$13:CN30)</f>
        <v>17</v>
      </c>
      <c r="B30" s="638" t="str">
        <f>IF(FILIACIÓN!B27="","",UPPER(FILIACIÓN!B27))</f>
        <v/>
      </c>
      <c r="C30" s="639"/>
      <c r="D30" s="640"/>
      <c r="E30" s="446" t="str">
        <f t="shared" si="3"/>
        <v/>
      </c>
      <c r="F30" s="170"/>
      <c r="G30" s="171"/>
      <c r="H30" s="171"/>
      <c r="I30" s="171"/>
      <c r="J30" s="171"/>
      <c r="K30" s="17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171"/>
      <c r="AJ30" s="171"/>
      <c r="AK30" s="171"/>
      <c r="AL30" s="171"/>
      <c r="AM30" s="171"/>
      <c r="AN30" s="171"/>
      <c r="AO30" s="171"/>
      <c r="AP30" s="171"/>
      <c r="AQ30" s="171"/>
      <c r="AR30" s="171"/>
      <c r="AS30" s="171"/>
      <c r="AT30" s="171"/>
      <c r="AU30" s="171"/>
      <c r="AV30" s="171"/>
      <c r="AW30" s="171"/>
      <c r="AX30" s="171"/>
      <c r="AY30" s="171"/>
      <c r="AZ30" s="171"/>
      <c r="BA30" s="171"/>
      <c r="BB30" s="171"/>
      <c r="BC30" s="171"/>
      <c r="BD30" s="171"/>
      <c r="BE30" s="171"/>
      <c r="BF30" s="171"/>
      <c r="BG30" s="171"/>
      <c r="BH30" s="171"/>
      <c r="BI30" s="171"/>
      <c r="BJ30" s="171"/>
      <c r="BK30" s="171"/>
      <c r="BL30" s="171"/>
      <c r="BM30" s="171"/>
      <c r="BN30" s="171"/>
      <c r="BO30" s="171"/>
      <c r="BP30" s="171"/>
      <c r="BQ30" s="171"/>
      <c r="BR30" s="171"/>
      <c r="BS30" s="171"/>
      <c r="BT30" s="171"/>
      <c r="BU30" s="171"/>
      <c r="BV30" s="171"/>
      <c r="BW30" s="172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62"/>
      <c r="CF30" s="436"/>
      <c r="CG30" s="437"/>
      <c r="CH30" s="437"/>
      <c r="CI30" s="437"/>
      <c r="CJ30" s="437"/>
      <c r="CK30" s="43"/>
      <c r="CL30" s="43"/>
      <c r="CM30" s="26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63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63"/>
    </row>
    <row r="31" spans="1:233" ht="21.75" customHeight="1">
      <c r="A31" s="189">
        <f>--SUBTOTAL(2,CN$13:CN31)</f>
        <v>18</v>
      </c>
      <c r="B31" s="638" t="str">
        <f>IF(FILIACIÓN!B28="","",UPPER(FILIACIÓN!B28))</f>
        <v/>
      </c>
      <c r="C31" s="639"/>
      <c r="D31" s="640"/>
      <c r="E31" s="446" t="str">
        <f t="shared" si="3"/>
        <v/>
      </c>
      <c r="F31" s="170"/>
      <c r="G31" s="171"/>
      <c r="H31" s="171"/>
      <c r="I31" s="171"/>
      <c r="J31" s="171"/>
      <c r="K31" s="17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171"/>
      <c r="AJ31" s="171"/>
      <c r="AK31" s="171"/>
      <c r="AL31" s="171"/>
      <c r="AM31" s="171"/>
      <c r="AN31" s="171"/>
      <c r="AO31" s="171"/>
      <c r="AP31" s="171"/>
      <c r="AQ31" s="171"/>
      <c r="AR31" s="171"/>
      <c r="AS31" s="171"/>
      <c r="AT31" s="171"/>
      <c r="AU31" s="171"/>
      <c r="AV31" s="171"/>
      <c r="AW31" s="171"/>
      <c r="AX31" s="171"/>
      <c r="AY31" s="171"/>
      <c r="AZ31" s="171"/>
      <c r="BA31" s="171"/>
      <c r="BB31" s="171"/>
      <c r="BC31" s="171"/>
      <c r="BD31" s="171"/>
      <c r="BE31" s="171"/>
      <c r="BF31" s="171"/>
      <c r="BG31" s="171"/>
      <c r="BH31" s="171"/>
      <c r="BI31" s="171"/>
      <c r="BJ31" s="171"/>
      <c r="BK31" s="171"/>
      <c r="BL31" s="171"/>
      <c r="BM31" s="171"/>
      <c r="BN31" s="171"/>
      <c r="BO31" s="171"/>
      <c r="BP31" s="171"/>
      <c r="BQ31" s="171"/>
      <c r="BR31" s="171"/>
      <c r="BS31" s="171"/>
      <c r="BT31" s="171"/>
      <c r="BU31" s="171"/>
      <c r="BV31" s="171"/>
      <c r="BW31" s="172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62"/>
      <c r="CF31" s="436"/>
      <c r="CG31" s="437"/>
      <c r="CH31" s="437"/>
      <c r="CI31" s="437"/>
      <c r="CJ31" s="437"/>
      <c r="CK31" s="43"/>
      <c r="CL31" s="43"/>
      <c r="CM31" s="26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63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63"/>
    </row>
    <row r="32" spans="1:233" ht="21.75" customHeight="1">
      <c r="A32" s="189">
        <f>--SUBTOTAL(2,CN$13:CN32)</f>
        <v>19</v>
      </c>
      <c r="B32" s="638" t="str">
        <f>IF(FILIACIÓN!B29="","",UPPER(FILIACIÓN!B29))</f>
        <v/>
      </c>
      <c r="C32" s="639"/>
      <c r="D32" s="640"/>
      <c r="E32" s="446" t="str">
        <f t="shared" si="3"/>
        <v/>
      </c>
      <c r="F32" s="170"/>
      <c r="G32" s="171"/>
      <c r="H32" s="171"/>
      <c r="I32" s="171"/>
      <c r="J32" s="171"/>
      <c r="K32" s="17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2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62"/>
      <c r="CF32" s="436"/>
      <c r="CG32" s="437"/>
      <c r="CH32" s="437"/>
      <c r="CI32" s="437"/>
      <c r="CJ32" s="437"/>
      <c r="CK32" s="43"/>
      <c r="CL32" s="43"/>
      <c r="CM32" s="26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63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63"/>
    </row>
    <row r="33" spans="1:233" ht="21.75" customHeight="1">
      <c r="A33" s="189">
        <f>--SUBTOTAL(2,CN$13:CN33)</f>
        <v>20</v>
      </c>
      <c r="B33" s="638" t="str">
        <f>IF(FILIACIÓN!B30="","",UPPER(FILIACIÓN!B30))</f>
        <v/>
      </c>
      <c r="C33" s="639"/>
      <c r="D33" s="640"/>
      <c r="E33" s="446" t="str">
        <f t="shared" si="3"/>
        <v/>
      </c>
      <c r="F33" s="170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171"/>
      <c r="AJ33" s="171"/>
      <c r="AK33" s="171"/>
      <c r="AL33" s="171"/>
      <c r="AM33" s="171"/>
      <c r="AN33" s="171"/>
      <c r="AO33" s="171"/>
      <c r="AP33" s="171"/>
      <c r="AQ33" s="171"/>
      <c r="AR33" s="171"/>
      <c r="AS33" s="171"/>
      <c r="AT33" s="171"/>
      <c r="AU33" s="171"/>
      <c r="AV33" s="171"/>
      <c r="AW33" s="171"/>
      <c r="AX33" s="171"/>
      <c r="AY33" s="171"/>
      <c r="AZ33" s="171"/>
      <c r="BA33" s="171"/>
      <c r="BB33" s="171"/>
      <c r="BC33" s="171"/>
      <c r="BD33" s="171"/>
      <c r="BE33" s="171"/>
      <c r="BF33" s="171"/>
      <c r="BG33" s="171"/>
      <c r="BH33" s="171"/>
      <c r="BI33" s="171"/>
      <c r="BJ33" s="171"/>
      <c r="BK33" s="171"/>
      <c r="BL33" s="171"/>
      <c r="BM33" s="171"/>
      <c r="BN33" s="171"/>
      <c r="BO33" s="171"/>
      <c r="BP33" s="171"/>
      <c r="BQ33" s="171"/>
      <c r="BR33" s="171"/>
      <c r="BS33" s="171"/>
      <c r="BT33" s="171"/>
      <c r="BU33" s="171"/>
      <c r="BV33" s="171"/>
      <c r="BW33" s="172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62"/>
      <c r="CF33" s="436"/>
      <c r="CG33" s="437"/>
      <c r="CH33" s="437"/>
      <c r="CI33" s="437"/>
      <c r="CJ33" s="437"/>
      <c r="CK33" s="43"/>
      <c r="CL33" s="43"/>
      <c r="CM33" s="26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63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63"/>
    </row>
    <row r="34" spans="1:233" ht="21.75" customHeight="1">
      <c r="A34" s="189">
        <f>--SUBTOTAL(2,CN$13:CN34)</f>
        <v>21</v>
      </c>
      <c r="B34" s="638" t="str">
        <f>IF(FILIACIÓN!B31="","",UPPER(FILIACIÓN!B31))</f>
        <v/>
      </c>
      <c r="C34" s="639"/>
      <c r="D34" s="640"/>
      <c r="E34" s="446" t="str">
        <f t="shared" si="3"/>
        <v/>
      </c>
      <c r="F34" s="170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171"/>
      <c r="AJ34" s="171"/>
      <c r="AK34" s="171"/>
      <c r="AL34" s="171"/>
      <c r="AM34" s="171"/>
      <c r="AN34" s="171"/>
      <c r="AO34" s="171"/>
      <c r="AP34" s="171"/>
      <c r="AQ34" s="171"/>
      <c r="AR34" s="171"/>
      <c r="AS34" s="171"/>
      <c r="AT34" s="171"/>
      <c r="AU34" s="171"/>
      <c r="AV34" s="171"/>
      <c r="AW34" s="171"/>
      <c r="AX34" s="171"/>
      <c r="AY34" s="171"/>
      <c r="AZ34" s="171"/>
      <c r="BA34" s="171"/>
      <c r="BB34" s="171"/>
      <c r="BC34" s="171"/>
      <c r="BD34" s="171"/>
      <c r="BE34" s="171"/>
      <c r="BF34" s="171"/>
      <c r="BG34" s="171"/>
      <c r="BH34" s="171"/>
      <c r="BI34" s="171"/>
      <c r="BJ34" s="171"/>
      <c r="BK34" s="171"/>
      <c r="BL34" s="171"/>
      <c r="BM34" s="171"/>
      <c r="BN34" s="171"/>
      <c r="BO34" s="171"/>
      <c r="BP34" s="171"/>
      <c r="BQ34" s="171"/>
      <c r="BR34" s="171"/>
      <c r="BS34" s="171"/>
      <c r="BT34" s="171"/>
      <c r="BU34" s="171"/>
      <c r="BV34" s="171"/>
      <c r="BW34" s="172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62"/>
      <c r="CF34" s="436"/>
      <c r="CG34" s="437"/>
      <c r="CH34" s="437"/>
      <c r="CI34" s="437"/>
      <c r="CJ34" s="437"/>
      <c r="CK34" s="43"/>
      <c r="CL34" s="43"/>
      <c r="CM34" s="26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63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63"/>
    </row>
    <row r="35" spans="1:233" ht="21.75" customHeight="1">
      <c r="A35" s="189">
        <f>--SUBTOTAL(2,CN$13:CN35)</f>
        <v>22</v>
      </c>
      <c r="B35" s="638" t="str">
        <f>IF(FILIACIÓN!B32="","",UPPER(FILIACIÓN!B32))</f>
        <v/>
      </c>
      <c r="C35" s="639"/>
      <c r="D35" s="640"/>
      <c r="E35" s="446" t="str">
        <f t="shared" si="3"/>
        <v/>
      </c>
      <c r="F35" s="170"/>
      <c r="G35" s="171"/>
      <c r="H35" s="171"/>
      <c r="I35" s="171"/>
      <c r="J35" s="171"/>
      <c r="K35" s="171"/>
      <c r="L35" s="171"/>
      <c r="M35" s="171"/>
      <c r="N35" s="171"/>
      <c r="O35" s="171"/>
      <c r="P35" s="171"/>
      <c r="Q35" s="171"/>
      <c r="R35" s="171"/>
      <c r="S35" s="171"/>
      <c r="T35" s="171"/>
      <c r="U35" s="171"/>
      <c r="V35" s="171"/>
      <c r="W35" s="171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171"/>
      <c r="AJ35" s="171"/>
      <c r="AK35" s="171"/>
      <c r="AL35" s="171"/>
      <c r="AM35" s="171"/>
      <c r="AN35" s="171"/>
      <c r="AO35" s="171"/>
      <c r="AP35" s="171"/>
      <c r="AQ35" s="171"/>
      <c r="AR35" s="171"/>
      <c r="AS35" s="171"/>
      <c r="AT35" s="171"/>
      <c r="AU35" s="171"/>
      <c r="AV35" s="171"/>
      <c r="AW35" s="171"/>
      <c r="AX35" s="171"/>
      <c r="AY35" s="171"/>
      <c r="AZ35" s="171"/>
      <c r="BA35" s="171"/>
      <c r="BB35" s="171"/>
      <c r="BC35" s="171"/>
      <c r="BD35" s="171"/>
      <c r="BE35" s="171"/>
      <c r="BF35" s="171"/>
      <c r="BG35" s="171"/>
      <c r="BH35" s="171"/>
      <c r="BI35" s="171"/>
      <c r="BJ35" s="171"/>
      <c r="BK35" s="171"/>
      <c r="BL35" s="171"/>
      <c r="BM35" s="171"/>
      <c r="BN35" s="171"/>
      <c r="BO35" s="171"/>
      <c r="BP35" s="171"/>
      <c r="BQ35" s="171"/>
      <c r="BR35" s="171"/>
      <c r="BS35" s="171"/>
      <c r="BT35" s="171"/>
      <c r="BU35" s="171"/>
      <c r="BV35" s="171"/>
      <c r="BW35" s="172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62"/>
      <c r="CF35" s="436"/>
      <c r="CG35" s="437"/>
      <c r="CH35" s="437"/>
      <c r="CI35" s="437"/>
      <c r="CJ35" s="437"/>
      <c r="CK35" s="43"/>
      <c r="CL35" s="43"/>
      <c r="CM35" s="26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63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63"/>
    </row>
    <row r="36" spans="1:233" ht="21.75" customHeight="1">
      <c r="A36" s="189">
        <f>--SUBTOTAL(2,CN$13:CN36)</f>
        <v>23</v>
      </c>
      <c r="B36" s="638" t="str">
        <f>IF(FILIACIÓN!B33="","",UPPER(FILIACIÓN!B33))</f>
        <v/>
      </c>
      <c r="C36" s="639"/>
      <c r="D36" s="640"/>
      <c r="E36" s="446" t="str">
        <f t="shared" si="3"/>
        <v/>
      </c>
      <c r="F36" s="170"/>
      <c r="G36" s="171"/>
      <c r="H36" s="171"/>
      <c r="I36" s="171"/>
      <c r="J36" s="171"/>
      <c r="K36" s="171"/>
      <c r="L36" s="171"/>
      <c r="M36" s="171"/>
      <c r="N36" s="171"/>
      <c r="O36" s="171"/>
      <c r="P36" s="171"/>
      <c r="Q36" s="171"/>
      <c r="R36" s="171"/>
      <c r="S36" s="171"/>
      <c r="T36" s="171"/>
      <c r="U36" s="171"/>
      <c r="V36" s="171"/>
      <c r="W36" s="171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171"/>
      <c r="AJ36" s="171"/>
      <c r="AK36" s="171"/>
      <c r="AL36" s="171"/>
      <c r="AM36" s="171"/>
      <c r="AN36" s="171"/>
      <c r="AO36" s="171"/>
      <c r="AP36" s="171"/>
      <c r="AQ36" s="171"/>
      <c r="AR36" s="171"/>
      <c r="AS36" s="171"/>
      <c r="AT36" s="171"/>
      <c r="AU36" s="171"/>
      <c r="AV36" s="171"/>
      <c r="AW36" s="171"/>
      <c r="AX36" s="171"/>
      <c r="AY36" s="171"/>
      <c r="AZ36" s="171"/>
      <c r="BA36" s="171"/>
      <c r="BB36" s="171"/>
      <c r="BC36" s="171"/>
      <c r="BD36" s="171"/>
      <c r="BE36" s="171"/>
      <c r="BF36" s="171"/>
      <c r="BG36" s="171"/>
      <c r="BH36" s="171"/>
      <c r="BI36" s="171"/>
      <c r="BJ36" s="171"/>
      <c r="BK36" s="171"/>
      <c r="BL36" s="171"/>
      <c r="BM36" s="171"/>
      <c r="BN36" s="171"/>
      <c r="BO36" s="171"/>
      <c r="BP36" s="171"/>
      <c r="BQ36" s="171"/>
      <c r="BR36" s="171"/>
      <c r="BS36" s="171"/>
      <c r="BT36" s="171"/>
      <c r="BU36" s="171"/>
      <c r="BV36" s="171"/>
      <c r="BW36" s="172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62"/>
      <c r="CF36" s="436"/>
      <c r="CG36" s="437"/>
      <c r="CH36" s="437"/>
      <c r="CI36" s="437"/>
      <c r="CJ36" s="437"/>
      <c r="CK36" s="43"/>
      <c r="CL36" s="43"/>
      <c r="CM36" s="26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63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63"/>
    </row>
    <row r="37" spans="1:233" ht="21.75" customHeight="1">
      <c r="A37" s="189">
        <f>--SUBTOTAL(2,CN$13:CN37)</f>
        <v>24</v>
      </c>
      <c r="B37" s="638" t="str">
        <f>IF(FILIACIÓN!B34="","",UPPER(FILIACIÓN!B34))</f>
        <v/>
      </c>
      <c r="C37" s="639"/>
      <c r="D37" s="640"/>
      <c r="E37" s="446" t="str">
        <f t="shared" si="3"/>
        <v/>
      </c>
      <c r="F37" s="170"/>
      <c r="G37" s="171"/>
      <c r="H37" s="171"/>
      <c r="I37" s="171"/>
      <c r="J37" s="171"/>
      <c r="K37" s="171"/>
      <c r="L37" s="171"/>
      <c r="M37" s="171"/>
      <c r="N37" s="171"/>
      <c r="O37" s="171"/>
      <c r="P37" s="171"/>
      <c r="Q37" s="171"/>
      <c r="R37" s="171"/>
      <c r="S37" s="171"/>
      <c r="T37" s="171"/>
      <c r="U37" s="171"/>
      <c r="V37" s="171"/>
      <c r="W37" s="171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2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62"/>
      <c r="CF37" s="436"/>
      <c r="CG37" s="437"/>
      <c r="CH37" s="437"/>
      <c r="CI37" s="437"/>
      <c r="CJ37" s="437"/>
      <c r="CK37" s="43"/>
      <c r="CL37" s="43"/>
      <c r="CM37" s="26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63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63"/>
    </row>
    <row r="38" spans="1:233" ht="21.75" customHeight="1">
      <c r="A38" s="189">
        <f>--SUBTOTAL(2,CN$13:CN38)</f>
        <v>25</v>
      </c>
      <c r="B38" s="638" t="str">
        <f>IF(FILIACIÓN!B35="","",UPPER(FILIACIÓN!B35))</f>
        <v/>
      </c>
      <c r="C38" s="639"/>
      <c r="D38" s="640"/>
      <c r="E38" s="446" t="str">
        <f t="shared" si="3"/>
        <v/>
      </c>
      <c r="F38" s="170"/>
      <c r="G38" s="171"/>
      <c r="H38" s="171"/>
      <c r="I38" s="171"/>
      <c r="J38" s="171"/>
      <c r="K38" s="171"/>
      <c r="L38" s="171"/>
      <c r="M38" s="171"/>
      <c r="N38" s="171"/>
      <c r="O38" s="171"/>
      <c r="P38" s="171"/>
      <c r="Q38" s="171"/>
      <c r="R38" s="171"/>
      <c r="S38" s="171"/>
      <c r="T38" s="171"/>
      <c r="U38" s="171"/>
      <c r="V38" s="171"/>
      <c r="W38" s="171"/>
      <c r="X38" s="171"/>
      <c r="Y38" s="171"/>
      <c r="Z38" s="171"/>
      <c r="AA38" s="171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2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62"/>
      <c r="CF38" s="436"/>
      <c r="CG38" s="437"/>
      <c r="CH38" s="437"/>
      <c r="CI38" s="437"/>
      <c r="CJ38" s="437"/>
      <c r="CK38" s="43"/>
      <c r="CL38" s="43"/>
      <c r="CM38" s="26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63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63"/>
    </row>
    <row r="39" spans="1:233" ht="21.75" customHeight="1">
      <c r="A39" s="189">
        <f>--SUBTOTAL(2,CN$13:CN39)</f>
        <v>26</v>
      </c>
      <c r="B39" s="638" t="str">
        <f>IF(FILIACIÓN!B36="","",UPPER(FILIACIÓN!B36))</f>
        <v/>
      </c>
      <c r="C39" s="639"/>
      <c r="D39" s="640"/>
      <c r="E39" s="446" t="str">
        <f t="shared" si="3"/>
        <v/>
      </c>
      <c r="F39" s="170"/>
      <c r="G39" s="171"/>
      <c r="H39" s="171"/>
      <c r="I39" s="171"/>
      <c r="J39" s="171"/>
      <c r="K39" s="171"/>
      <c r="L39" s="171"/>
      <c r="M39" s="171"/>
      <c r="N39" s="171"/>
      <c r="O39" s="171"/>
      <c r="P39" s="171"/>
      <c r="Q39" s="171"/>
      <c r="R39" s="171"/>
      <c r="S39" s="171"/>
      <c r="T39" s="171"/>
      <c r="U39" s="171"/>
      <c r="V39" s="171"/>
      <c r="W39" s="171"/>
      <c r="X39" s="171"/>
      <c r="Y39" s="171"/>
      <c r="Z39" s="171"/>
      <c r="AA39" s="171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2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62"/>
      <c r="CF39" s="436"/>
      <c r="CG39" s="437"/>
      <c r="CH39" s="437"/>
      <c r="CI39" s="437"/>
      <c r="CJ39" s="437"/>
      <c r="CK39" s="43"/>
      <c r="CL39" s="43"/>
      <c r="CM39" s="26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63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63"/>
    </row>
    <row r="40" spans="1:233" ht="21.75" customHeight="1">
      <c r="A40" s="189">
        <f>--SUBTOTAL(2,CN$13:CN40)</f>
        <v>27</v>
      </c>
      <c r="B40" s="638" t="str">
        <f>IF(FILIACIÓN!B37="","",UPPER(FILIACIÓN!B37))</f>
        <v/>
      </c>
      <c r="C40" s="639"/>
      <c r="D40" s="640"/>
      <c r="E40" s="446" t="str">
        <f t="shared" si="3"/>
        <v/>
      </c>
      <c r="F40" s="170"/>
      <c r="G40" s="171"/>
      <c r="H40" s="171"/>
      <c r="I40" s="171"/>
      <c r="J40" s="171"/>
      <c r="K40" s="171"/>
      <c r="L40" s="171"/>
      <c r="M40" s="171"/>
      <c r="N40" s="171"/>
      <c r="O40" s="171"/>
      <c r="P40" s="171"/>
      <c r="Q40" s="171"/>
      <c r="R40" s="171"/>
      <c r="S40" s="171"/>
      <c r="T40" s="171"/>
      <c r="U40" s="171"/>
      <c r="V40" s="171"/>
      <c r="W40" s="171"/>
      <c r="X40" s="171"/>
      <c r="Y40" s="171"/>
      <c r="Z40" s="171"/>
      <c r="AA40" s="171"/>
      <c r="AB40" s="171"/>
      <c r="AC40" s="171"/>
      <c r="AD40" s="171"/>
      <c r="AE40" s="171"/>
      <c r="AF40" s="171"/>
      <c r="AG40" s="171"/>
      <c r="AH40" s="171"/>
      <c r="AI40" s="171"/>
      <c r="AJ40" s="171"/>
      <c r="AK40" s="171"/>
      <c r="AL40" s="171"/>
      <c r="AM40" s="171"/>
      <c r="AN40" s="171"/>
      <c r="AO40" s="171"/>
      <c r="AP40" s="171"/>
      <c r="AQ40" s="171"/>
      <c r="AR40" s="171"/>
      <c r="AS40" s="171"/>
      <c r="AT40" s="171"/>
      <c r="AU40" s="171"/>
      <c r="AV40" s="171"/>
      <c r="AW40" s="171"/>
      <c r="AX40" s="171"/>
      <c r="AY40" s="171"/>
      <c r="AZ40" s="17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2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62"/>
      <c r="CF40" s="436"/>
      <c r="CG40" s="437"/>
      <c r="CH40" s="437"/>
      <c r="CI40" s="437"/>
      <c r="CJ40" s="437"/>
      <c r="CK40" s="43"/>
      <c r="CL40" s="43"/>
      <c r="CM40" s="26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63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63"/>
    </row>
    <row r="41" spans="1:233" ht="21.75" customHeight="1">
      <c r="A41" s="189">
        <f>--SUBTOTAL(2,CN$13:CN41)</f>
        <v>28</v>
      </c>
      <c r="B41" s="638" t="str">
        <f>IF(FILIACIÓN!B38="","",UPPER(FILIACIÓN!B38))</f>
        <v/>
      </c>
      <c r="C41" s="639"/>
      <c r="D41" s="640"/>
      <c r="E41" s="446" t="str">
        <f t="shared" si="3"/>
        <v/>
      </c>
      <c r="F41" s="170"/>
      <c r="G41" s="171"/>
      <c r="H41" s="171"/>
      <c r="I41" s="171"/>
      <c r="J41" s="171"/>
      <c r="K41" s="171"/>
      <c r="L41" s="171"/>
      <c r="M41" s="171"/>
      <c r="N41" s="171"/>
      <c r="O41" s="171"/>
      <c r="P41" s="171"/>
      <c r="Q41" s="171"/>
      <c r="R41" s="171"/>
      <c r="S41" s="171"/>
      <c r="T41" s="171"/>
      <c r="U41" s="171"/>
      <c r="V41" s="171"/>
      <c r="W41" s="171"/>
      <c r="X41" s="171"/>
      <c r="Y41" s="171"/>
      <c r="Z41" s="171"/>
      <c r="AA41" s="171"/>
      <c r="AB41" s="171"/>
      <c r="AC41" s="171"/>
      <c r="AD41" s="171"/>
      <c r="AE41" s="171"/>
      <c r="AF41" s="171"/>
      <c r="AG41" s="171"/>
      <c r="AH41" s="171"/>
      <c r="AI41" s="171"/>
      <c r="AJ41" s="171"/>
      <c r="AK41" s="171"/>
      <c r="AL41" s="171"/>
      <c r="AM41" s="171"/>
      <c r="AN41" s="171"/>
      <c r="AO41" s="171"/>
      <c r="AP41" s="171"/>
      <c r="AQ41" s="171"/>
      <c r="AR41" s="171"/>
      <c r="AS41" s="171"/>
      <c r="AT41" s="171"/>
      <c r="AU41" s="171"/>
      <c r="AV41" s="171"/>
      <c r="AW41" s="171"/>
      <c r="AX41" s="171"/>
      <c r="AY41" s="171"/>
      <c r="AZ41" s="17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2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62"/>
      <c r="CF41" s="436"/>
      <c r="CG41" s="437"/>
      <c r="CH41" s="437"/>
      <c r="CI41" s="437"/>
      <c r="CJ41" s="437"/>
      <c r="CK41" s="43"/>
      <c r="CL41" s="43"/>
      <c r="CM41" s="26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63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63"/>
    </row>
    <row r="42" spans="1:233" ht="21.75" customHeight="1">
      <c r="A42" s="189">
        <f>--SUBTOTAL(2,CN$13:CN42)</f>
        <v>29</v>
      </c>
      <c r="B42" s="638" t="str">
        <f>IF(FILIACIÓN!B39="","",UPPER(FILIACIÓN!B39))</f>
        <v/>
      </c>
      <c r="C42" s="639"/>
      <c r="D42" s="640"/>
      <c r="E42" s="446" t="str">
        <f t="shared" si="3"/>
        <v/>
      </c>
      <c r="F42" s="170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2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62"/>
      <c r="CF42" s="436"/>
      <c r="CG42" s="437"/>
      <c r="CH42" s="437"/>
      <c r="CI42" s="437"/>
      <c r="CJ42" s="437"/>
      <c r="CK42" s="43"/>
      <c r="CL42" s="43"/>
      <c r="CM42" s="26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63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63"/>
    </row>
    <row r="43" spans="1:233" ht="21.75" customHeight="1">
      <c r="A43" s="189">
        <f>--SUBTOTAL(2,CN$13:CN43)</f>
        <v>30</v>
      </c>
      <c r="B43" s="638" t="str">
        <f>IF(FILIACIÓN!B40="","",UPPER(FILIACIÓN!B40))</f>
        <v/>
      </c>
      <c r="C43" s="639"/>
      <c r="D43" s="640"/>
      <c r="E43" s="446" t="str">
        <f t="shared" si="3"/>
        <v/>
      </c>
      <c r="F43" s="170"/>
      <c r="G43" s="171"/>
      <c r="H43" s="171"/>
      <c r="I43" s="171"/>
      <c r="J43" s="171"/>
      <c r="K43" s="171"/>
      <c r="L43" s="171"/>
      <c r="M43" s="171"/>
      <c r="N43" s="171"/>
      <c r="O43" s="171"/>
      <c r="P43" s="171"/>
      <c r="Q43" s="171"/>
      <c r="R43" s="171"/>
      <c r="S43" s="171"/>
      <c r="T43" s="171"/>
      <c r="U43" s="171"/>
      <c r="V43" s="171"/>
      <c r="W43" s="171"/>
      <c r="X43" s="171"/>
      <c r="Y43" s="171"/>
      <c r="Z43" s="171"/>
      <c r="AA43" s="171"/>
      <c r="AB43" s="171"/>
      <c r="AC43" s="171"/>
      <c r="AD43" s="171"/>
      <c r="AE43" s="171"/>
      <c r="AF43" s="171"/>
      <c r="AG43" s="171"/>
      <c r="AH43" s="171"/>
      <c r="AI43" s="171"/>
      <c r="AJ43" s="171"/>
      <c r="AK43" s="171"/>
      <c r="AL43" s="171"/>
      <c r="AM43" s="171"/>
      <c r="AN43" s="171"/>
      <c r="AO43" s="171"/>
      <c r="AP43" s="171"/>
      <c r="AQ43" s="171"/>
      <c r="AR43" s="171"/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1"/>
      <c r="BV43" s="171"/>
      <c r="BW43" s="172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62"/>
      <c r="CF43" s="436"/>
      <c r="CG43" s="437"/>
      <c r="CH43" s="437"/>
      <c r="CI43" s="437"/>
      <c r="CJ43" s="437"/>
      <c r="CK43" s="43"/>
      <c r="CL43" s="43"/>
      <c r="CM43" s="26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63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63"/>
    </row>
    <row r="44" spans="1:233" ht="21.75" hidden="1" customHeight="1">
      <c r="A44" s="189">
        <f>--SUBTOTAL(2,CN$13:CN44)</f>
        <v>31</v>
      </c>
      <c r="B44" s="638" t="str">
        <f>IF(FILIACIÓN!B41="","",UPPER(FILIACIÓN!B41))</f>
        <v/>
      </c>
      <c r="C44" s="639"/>
      <c r="D44" s="640"/>
      <c r="E44" s="446" t="str">
        <f t="shared" si="3"/>
        <v/>
      </c>
      <c r="F44" s="170"/>
      <c r="G44" s="171"/>
      <c r="H44" s="171"/>
      <c r="I44" s="171"/>
      <c r="J44" s="171"/>
      <c r="K44" s="171"/>
      <c r="L44" s="171"/>
      <c r="M44" s="171"/>
      <c r="N44" s="171"/>
      <c r="O44" s="171"/>
      <c r="P44" s="171"/>
      <c r="Q44" s="171"/>
      <c r="R44" s="171"/>
      <c r="S44" s="171"/>
      <c r="T44" s="171"/>
      <c r="U44" s="171"/>
      <c r="V44" s="171"/>
      <c r="W44" s="171"/>
      <c r="X44" s="171"/>
      <c r="Y44" s="171"/>
      <c r="Z44" s="171"/>
      <c r="AA44" s="171"/>
      <c r="AB44" s="171"/>
      <c r="AC44" s="171"/>
      <c r="AD44" s="171"/>
      <c r="AE44" s="171"/>
      <c r="AF44" s="171"/>
      <c r="AG44" s="171"/>
      <c r="AH44" s="171"/>
      <c r="AI44" s="171"/>
      <c r="AJ44" s="171"/>
      <c r="AK44" s="171"/>
      <c r="AL44" s="171"/>
      <c r="AM44" s="171"/>
      <c r="AN44" s="171"/>
      <c r="AO44" s="171"/>
      <c r="AP44" s="171"/>
      <c r="AQ44" s="171"/>
      <c r="AR44" s="171"/>
      <c r="AS44" s="171"/>
      <c r="AT44" s="171"/>
      <c r="AU44" s="171"/>
      <c r="AV44" s="171"/>
      <c r="AW44" s="171"/>
      <c r="AX44" s="171"/>
      <c r="AY44" s="171"/>
      <c r="AZ44" s="171"/>
      <c r="BA44" s="171"/>
      <c r="BB44" s="171"/>
      <c r="BC44" s="171"/>
      <c r="BD44" s="171"/>
      <c r="BE44" s="171"/>
      <c r="BF44" s="171"/>
      <c r="BG44" s="171"/>
      <c r="BH44" s="171"/>
      <c r="BI44" s="171"/>
      <c r="BJ44" s="171"/>
      <c r="BK44" s="171"/>
      <c r="BL44" s="171"/>
      <c r="BM44" s="171"/>
      <c r="BN44" s="171"/>
      <c r="BO44" s="171"/>
      <c r="BP44" s="171"/>
      <c r="BQ44" s="171"/>
      <c r="BR44" s="171"/>
      <c r="BS44" s="171"/>
      <c r="BT44" s="171"/>
      <c r="BU44" s="171"/>
      <c r="BV44" s="171"/>
      <c r="BW44" s="172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62"/>
      <c r="CF44" s="436"/>
      <c r="CG44" s="437"/>
      <c r="CH44" s="437"/>
      <c r="CI44" s="437"/>
      <c r="CJ44" s="437"/>
      <c r="CK44" s="43"/>
      <c r="CL44" s="43"/>
      <c r="CM44" s="26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63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63"/>
    </row>
    <row r="45" spans="1:233" ht="21.75" hidden="1" customHeight="1">
      <c r="A45" s="189">
        <f>--SUBTOTAL(2,CN$13:CN45)</f>
        <v>32</v>
      </c>
      <c r="B45" s="638" t="str">
        <f>IF(FILIACIÓN!B42="","",UPPER(FILIACIÓN!B42))</f>
        <v/>
      </c>
      <c r="C45" s="639"/>
      <c r="D45" s="640"/>
      <c r="E45" s="446" t="str">
        <f t="shared" si="3"/>
        <v/>
      </c>
      <c r="F45" s="170"/>
      <c r="G45" s="171"/>
      <c r="H45" s="171"/>
      <c r="I45" s="171"/>
      <c r="J45" s="171"/>
      <c r="K45" s="171"/>
      <c r="L45" s="171"/>
      <c r="M45" s="171"/>
      <c r="N45" s="171"/>
      <c r="O45" s="171"/>
      <c r="P45" s="171"/>
      <c r="Q45" s="171"/>
      <c r="R45" s="171"/>
      <c r="S45" s="171"/>
      <c r="T45" s="171"/>
      <c r="U45" s="171"/>
      <c r="V45" s="171"/>
      <c r="W45" s="171"/>
      <c r="X45" s="171"/>
      <c r="Y45" s="171"/>
      <c r="Z45" s="171"/>
      <c r="AA45" s="171"/>
      <c r="AB45" s="171"/>
      <c r="AC45" s="171"/>
      <c r="AD45" s="171"/>
      <c r="AE45" s="171"/>
      <c r="AF45" s="171"/>
      <c r="AG45" s="171"/>
      <c r="AH45" s="171"/>
      <c r="AI45" s="171"/>
      <c r="AJ45" s="171"/>
      <c r="AK45" s="171"/>
      <c r="AL45" s="171"/>
      <c r="AM45" s="171"/>
      <c r="AN45" s="171"/>
      <c r="AO45" s="171"/>
      <c r="AP45" s="171"/>
      <c r="AQ45" s="171"/>
      <c r="AR45" s="171"/>
      <c r="AS45" s="171"/>
      <c r="AT45" s="171"/>
      <c r="AU45" s="171"/>
      <c r="AV45" s="171"/>
      <c r="AW45" s="171"/>
      <c r="AX45" s="171"/>
      <c r="AY45" s="171"/>
      <c r="AZ45" s="171"/>
      <c r="BA45" s="171"/>
      <c r="BB45" s="171"/>
      <c r="BC45" s="171"/>
      <c r="BD45" s="171"/>
      <c r="BE45" s="171"/>
      <c r="BF45" s="171"/>
      <c r="BG45" s="171"/>
      <c r="BH45" s="171"/>
      <c r="BI45" s="171"/>
      <c r="BJ45" s="171"/>
      <c r="BK45" s="171"/>
      <c r="BL45" s="171"/>
      <c r="BM45" s="171"/>
      <c r="BN45" s="171"/>
      <c r="BO45" s="171"/>
      <c r="BP45" s="171"/>
      <c r="BQ45" s="171"/>
      <c r="BR45" s="171"/>
      <c r="BS45" s="171"/>
      <c r="BT45" s="171"/>
      <c r="BU45" s="171"/>
      <c r="BV45" s="171"/>
      <c r="BW45" s="172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62"/>
      <c r="CF45" s="436"/>
      <c r="CG45" s="437"/>
      <c r="CH45" s="437"/>
      <c r="CI45" s="437"/>
      <c r="CJ45" s="437"/>
      <c r="CK45" s="43"/>
      <c r="CL45" s="43"/>
      <c r="CM45" s="26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63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63"/>
    </row>
    <row r="46" spans="1:233" ht="21.75" hidden="1" customHeight="1">
      <c r="A46" s="189">
        <f>--SUBTOTAL(2,CN$13:CN46)</f>
        <v>33</v>
      </c>
      <c r="B46" s="638" t="str">
        <f>IF(FILIACIÓN!B43="","",UPPER(FILIACIÓN!B43))</f>
        <v/>
      </c>
      <c r="C46" s="639"/>
      <c r="D46" s="640"/>
      <c r="E46" s="446" t="str">
        <f t="shared" si="3"/>
        <v/>
      </c>
      <c r="F46" s="170"/>
      <c r="G46" s="171"/>
      <c r="H46" s="171"/>
      <c r="I46" s="171"/>
      <c r="J46" s="171"/>
      <c r="K46" s="171"/>
      <c r="L46" s="171"/>
      <c r="M46" s="171"/>
      <c r="N46" s="171"/>
      <c r="O46" s="171"/>
      <c r="P46" s="171"/>
      <c r="Q46" s="171"/>
      <c r="R46" s="171"/>
      <c r="S46" s="171"/>
      <c r="T46" s="171"/>
      <c r="U46" s="171"/>
      <c r="V46" s="171"/>
      <c r="W46" s="171"/>
      <c r="X46" s="171"/>
      <c r="Y46" s="171"/>
      <c r="Z46" s="171"/>
      <c r="AA46" s="171"/>
      <c r="AB46" s="171"/>
      <c r="AC46" s="171"/>
      <c r="AD46" s="171"/>
      <c r="AE46" s="171"/>
      <c r="AF46" s="171"/>
      <c r="AG46" s="171"/>
      <c r="AH46" s="171"/>
      <c r="AI46" s="171"/>
      <c r="AJ46" s="171"/>
      <c r="AK46" s="171"/>
      <c r="AL46" s="171"/>
      <c r="AM46" s="171"/>
      <c r="AN46" s="171"/>
      <c r="AO46" s="171"/>
      <c r="AP46" s="171"/>
      <c r="AQ46" s="171"/>
      <c r="AR46" s="171"/>
      <c r="AS46" s="171"/>
      <c r="AT46" s="171"/>
      <c r="AU46" s="171"/>
      <c r="AV46" s="171"/>
      <c r="AW46" s="171"/>
      <c r="AX46" s="171"/>
      <c r="AY46" s="171"/>
      <c r="AZ46" s="171"/>
      <c r="BA46" s="171"/>
      <c r="BB46" s="171"/>
      <c r="BC46" s="171"/>
      <c r="BD46" s="171"/>
      <c r="BE46" s="171"/>
      <c r="BF46" s="171"/>
      <c r="BG46" s="171"/>
      <c r="BH46" s="171"/>
      <c r="BI46" s="171"/>
      <c r="BJ46" s="171"/>
      <c r="BK46" s="171"/>
      <c r="BL46" s="171"/>
      <c r="BM46" s="171"/>
      <c r="BN46" s="171"/>
      <c r="BO46" s="171"/>
      <c r="BP46" s="171"/>
      <c r="BQ46" s="171"/>
      <c r="BR46" s="171"/>
      <c r="BS46" s="171"/>
      <c r="BT46" s="171"/>
      <c r="BU46" s="171"/>
      <c r="BV46" s="171"/>
      <c r="BW46" s="172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62"/>
      <c r="CF46" s="436"/>
      <c r="CG46" s="437"/>
      <c r="CH46" s="437"/>
      <c r="CI46" s="437"/>
      <c r="CJ46" s="437"/>
      <c r="CK46" s="43"/>
      <c r="CL46" s="43"/>
      <c r="CM46" s="26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63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63"/>
    </row>
    <row r="47" spans="1:233" ht="21.75" hidden="1" customHeight="1">
      <c r="A47" s="189">
        <f>--SUBTOTAL(2,CN$13:CN47)</f>
        <v>34</v>
      </c>
      <c r="B47" s="638" t="str">
        <f>IF(FILIACIÓN!B44="","",UPPER(FILIACIÓN!B44))</f>
        <v/>
      </c>
      <c r="C47" s="639"/>
      <c r="D47" s="640"/>
      <c r="E47" s="446" t="str">
        <f t="shared" si="3"/>
        <v/>
      </c>
      <c r="F47" s="170"/>
      <c r="G47" s="171"/>
      <c r="H47" s="171"/>
      <c r="I47" s="171"/>
      <c r="J47" s="171"/>
      <c r="K47" s="171"/>
      <c r="L47" s="171"/>
      <c r="M47" s="171"/>
      <c r="N47" s="171"/>
      <c r="O47" s="171"/>
      <c r="P47" s="171"/>
      <c r="Q47" s="171"/>
      <c r="R47" s="171"/>
      <c r="S47" s="171"/>
      <c r="T47" s="171"/>
      <c r="U47" s="171"/>
      <c r="V47" s="171"/>
      <c r="W47" s="171"/>
      <c r="X47" s="171"/>
      <c r="Y47" s="171"/>
      <c r="Z47" s="171"/>
      <c r="AA47" s="171"/>
      <c r="AB47" s="171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2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62"/>
      <c r="CF47" s="436"/>
      <c r="CG47" s="437"/>
      <c r="CH47" s="437"/>
      <c r="CI47" s="437"/>
      <c r="CJ47" s="437"/>
      <c r="CK47" s="43"/>
      <c r="CL47" s="43"/>
      <c r="CM47" s="26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63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63"/>
    </row>
    <row r="48" spans="1:233" ht="21.75" hidden="1" customHeight="1">
      <c r="A48" s="189">
        <f>--SUBTOTAL(2,CN$13:CN48)</f>
        <v>35</v>
      </c>
      <c r="B48" s="638" t="str">
        <f>IF(FILIACIÓN!B45="","",UPPER(FILIACIÓN!B45))</f>
        <v/>
      </c>
      <c r="C48" s="639"/>
      <c r="D48" s="640"/>
      <c r="E48" s="446" t="str">
        <f t="shared" si="3"/>
        <v/>
      </c>
      <c r="F48" s="170"/>
      <c r="G48" s="171"/>
      <c r="H48" s="171"/>
      <c r="I48" s="171"/>
      <c r="J48" s="171"/>
      <c r="K48" s="171"/>
      <c r="L48" s="171"/>
      <c r="M48" s="171"/>
      <c r="N48" s="171"/>
      <c r="O48" s="171"/>
      <c r="P48" s="171"/>
      <c r="Q48" s="171"/>
      <c r="R48" s="171"/>
      <c r="S48" s="171"/>
      <c r="T48" s="171"/>
      <c r="U48" s="171"/>
      <c r="V48" s="171"/>
      <c r="W48" s="171"/>
      <c r="X48" s="171"/>
      <c r="Y48" s="171"/>
      <c r="Z48" s="171"/>
      <c r="AA48" s="171"/>
      <c r="AB48" s="171"/>
      <c r="AC48" s="171"/>
      <c r="AD48" s="171"/>
      <c r="AE48" s="171"/>
      <c r="AF48" s="171"/>
      <c r="AG48" s="171"/>
      <c r="AH48" s="171"/>
      <c r="AI48" s="171"/>
      <c r="AJ48" s="171"/>
      <c r="AK48" s="171"/>
      <c r="AL48" s="171"/>
      <c r="AM48" s="171"/>
      <c r="AN48" s="171"/>
      <c r="AO48" s="171"/>
      <c r="AP48" s="171"/>
      <c r="AQ48" s="171"/>
      <c r="AR48" s="171"/>
      <c r="AS48" s="171"/>
      <c r="AT48" s="171"/>
      <c r="AU48" s="171"/>
      <c r="AV48" s="171"/>
      <c r="AW48" s="171"/>
      <c r="AX48" s="171"/>
      <c r="AY48" s="171"/>
      <c r="AZ48" s="171"/>
      <c r="BA48" s="171"/>
      <c r="BB48" s="171"/>
      <c r="BC48" s="171"/>
      <c r="BD48" s="171"/>
      <c r="BE48" s="171"/>
      <c r="BF48" s="171"/>
      <c r="BG48" s="171"/>
      <c r="BH48" s="171"/>
      <c r="BI48" s="171"/>
      <c r="BJ48" s="171"/>
      <c r="BK48" s="171"/>
      <c r="BL48" s="171"/>
      <c r="BM48" s="171"/>
      <c r="BN48" s="171"/>
      <c r="BO48" s="171"/>
      <c r="BP48" s="171"/>
      <c r="BQ48" s="171"/>
      <c r="BR48" s="171"/>
      <c r="BS48" s="171"/>
      <c r="BT48" s="171"/>
      <c r="BU48" s="171"/>
      <c r="BV48" s="171"/>
      <c r="BW48" s="172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62"/>
      <c r="CF48" s="436"/>
      <c r="CG48" s="437"/>
      <c r="CH48" s="437"/>
      <c r="CI48" s="437"/>
      <c r="CJ48" s="437"/>
      <c r="CK48" s="43"/>
      <c r="CL48" s="43"/>
      <c r="CM48" s="26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63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63"/>
    </row>
    <row r="49" spans="1:233" ht="21.75" hidden="1" customHeight="1">
      <c r="A49" s="189">
        <f>--SUBTOTAL(2,CN$13:CN49)</f>
        <v>36</v>
      </c>
      <c r="B49" s="638" t="str">
        <f>IF(FILIACIÓN!B46="","",UPPER(FILIACIÓN!B46))</f>
        <v/>
      </c>
      <c r="C49" s="639"/>
      <c r="D49" s="640"/>
      <c r="E49" s="446" t="str">
        <f t="shared" si="3"/>
        <v/>
      </c>
      <c r="F49" s="170"/>
      <c r="G49" s="171"/>
      <c r="H49" s="171"/>
      <c r="I49" s="171"/>
      <c r="J49" s="171"/>
      <c r="K49" s="171"/>
      <c r="L49" s="171"/>
      <c r="M49" s="171"/>
      <c r="N49" s="171"/>
      <c r="O49" s="171"/>
      <c r="P49" s="171"/>
      <c r="Q49" s="171"/>
      <c r="R49" s="171"/>
      <c r="S49" s="171"/>
      <c r="T49" s="171"/>
      <c r="U49" s="171"/>
      <c r="V49" s="171"/>
      <c r="W49" s="171"/>
      <c r="X49" s="171"/>
      <c r="Y49" s="171"/>
      <c r="Z49" s="171"/>
      <c r="AA49" s="171"/>
      <c r="AB49" s="171"/>
      <c r="AC49" s="171"/>
      <c r="AD49" s="171"/>
      <c r="AE49" s="171"/>
      <c r="AF49" s="171"/>
      <c r="AG49" s="171"/>
      <c r="AH49" s="171"/>
      <c r="AI49" s="171"/>
      <c r="AJ49" s="171"/>
      <c r="AK49" s="171"/>
      <c r="AL49" s="171"/>
      <c r="AM49" s="171"/>
      <c r="AN49" s="171"/>
      <c r="AO49" s="171"/>
      <c r="AP49" s="171"/>
      <c r="AQ49" s="171"/>
      <c r="AR49" s="171"/>
      <c r="AS49" s="171"/>
      <c r="AT49" s="171"/>
      <c r="AU49" s="171"/>
      <c r="AV49" s="171"/>
      <c r="AW49" s="171"/>
      <c r="AX49" s="171"/>
      <c r="AY49" s="171"/>
      <c r="AZ49" s="171"/>
      <c r="BA49" s="171"/>
      <c r="BB49" s="171"/>
      <c r="BC49" s="171"/>
      <c r="BD49" s="171"/>
      <c r="BE49" s="171"/>
      <c r="BF49" s="171"/>
      <c r="BG49" s="171"/>
      <c r="BH49" s="171"/>
      <c r="BI49" s="171"/>
      <c r="BJ49" s="171"/>
      <c r="BK49" s="171"/>
      <c r="BL49" s="171"/>
      <c r="BM49" s="171"/>
      <c r="BN49" s="171"/>
      <c r="BO49" s="171"/>
      <c r="BP49" s="171"/>
      <c r="BQ49" s="171"/>
      <c r="BR49" s="171"/>
      <c r="BS49" s="171"/>
      <c r="BT49" s="171"/>
      <c r="BU49" s="171"/>
      <c r="BV49" s="171"/>
      <c r="BW49" s="172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62"/>
      <c r="CF49" s="436"/>
      <c r="CG49" s="437"/>
      <c r="CH49" s="437"/>
      <c r="CI49" s="437"/>
      <c r="CJ49" s="437"/>
      <c r="CK49" s="43"/>
      <c r="CL49" s="43"/>
      <c r="CM49" s="26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63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63"/>
    </row>
    <row r="50" spans="1:233" ht="21.75" hidden="1" customHeight="1">
      <c r="A50" s="189">
        <f>--SUBTOTAL(2,CN$13:CN50)</f>
        <v>37</v>
      </c>
      <c r="B50" s="638" t="str">
        <f>IF(FILIACIÓN!B47="","",UPPER(FILIACIÓN!B47))</f>
        <v/>
      </c>
      <c r="C50" s="639"/>
      <c r="D50" s="640"/>
      <c r="E50" s="446" t="str">
        <f t="shared" si="3"/>
        <v/>
      </c>
      <c r="F50" s="170"/>
      <c r="G50" s="171"/>
      <c r="H50" s="171"/>
      <c r="I50" s="171"/>
      <c r="J50" s="171"/>
      <c r="K50" s="171"/>
      <c r="L50" s="171"/>
      <c r="M50" s="171"/>
      <c r="N50" s="171"/>
      <c r="O50" s="171"/>
      <c r="P50" s="171"/>
      <c r="Q50" s="171"/>
      <c r="R50" s="171"/>
      <c r="S50" s="171"/>
      <c r="T50" s="171"/>
      <c r="U50" s="171"/>
      <c r="V50" s="171"/>
      <c r="W50" s="171"/>
      <c r="X50" s="171"/>
      <c r="Y50" s="171"/>
      <c r="Z50" s="171"/>
      <c r="AA50" s="171"/>
      <c r="AB50" s="171"/>
      <c r="AC50" s="171"/>
      <c r="AD50" s="171"/>
      <c r="AE50" s="171"/>
      <c r="AF50" s="171"/>
      <c r="AG50" s="171"/>
      <c r="AH50" s="171"/>
      <c r="AI50" s="171"/>
      <c r="AJ50" s="171"/>
      <c r="AK50" s="171"/>
      <c r="AL50" s="171"/>
      <c r="AM50" s="171"/>
      <c r="AN50" s="171"/>
      <c r="AO50" s="171"/>
      <c r="AP50" s="171"/>
      <c r="AQ50" s="171"/>
      <c r="AR50" s="171"/>
      <c r="AS50" s="171"/>
      <c r="AT50" s="171"/>
      <c r="AU50" s="171"/>
      <c r="AV50" s="171"/>
      <c r="AW50" s="171"/>
      <c r="AX50" s="171"/>
      <c r="AY50" s="171"/>
      <c r="AZ50" s="171"/>
      <c r="BA50" s="171"/>
      <c r="BB50" s="171"/>
      <c r="BC50" s="171"/>
      <c r="BD50" s="171"/>
      <c r="BE50" s="171"/>
      <c r="BF50" s="171"/>
      <c r="BG50" s="171"/>
      <c r="BH50" s="171"/>
      <c r="BI50" s="171"/>
      <c r="BJ50" s="171"/>
      <c r="BK50" s="171"/>
      <c r="BL50" s="171"/>
      <c r="BM50" s="171"/>
      <c r="BN50" s="171"/>
      <c r="BO50" s="171"/>
      <c r="BP50" s="171"/>
      <c r="BQ50" s="171"/>
      <c r="BR50" s="171"/>
      <c r="BS50" s="171"/>
      <c r="BT50" s="171"/>
      <c r="BU50" s="171"/>
      <c r="BV50" s="171"/>
      <c r="BW50" s="172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62"/>
      <c r="CF50" s="436"/>
      <c r="CG50" s="437"/>
      <c r="CH50" s="437"/>
      <c r="CI50" s="437"/>
      <c r="CJ50" s="437"/>
      <c r="CK50" s="43"/>
      <c r="CL50" s="43"/>
      <c r="CM50" s="26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63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63"/>
    </row>
    <row r="51" spans="1:233" ht="21.75" hidden="1" customHeight="1">
      <c r="A51" s="189">
        <f>--SUBTOTAL(2,CN$13:CN51)</f>
        <v>38</v>
      </c>
      <c r="B51" s="638" t="str">
        <f>IF(FILIACIÓN!B48="","",UPPER(FILIACIÓN!B48))</f>
        <v/>
      </c>
      <c r="C51" s="639"/>
      <c r="D51" s="640"/>
      <c r="E51" s="446" t="str">
        <f t="shared" si="3"/>
        <v/>
      </c>
      <c r="F51" s="170"/>
      <c r="G51" s="171"/>
      <c r="H51" s="171"/>
      <c r="I51" s="171"/>
      <c r="J51" s="171"/>
      <c r="K51" s="171"/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171"/>
      <c r="AF51" s="171"/>
      <c r="AG51" s="171"/>
      <c r="AH51" s="171"/>
      <c r="AI51" s="171"/>
      <c r="AJ51" s="171"/>
      <c r="AK51" s="171"/>
      <c r="AL51" s="171"/>
      <c r="AM51" s="171"/>
      <c r="AN51" s="171"/>
      <c r="AO51" s="171"/>
      <c r="AP51" s="171"/>
      <c r="AQ51" s="171"/>
      <c r="AR51" s="171"/>
      <c r="AS51" s="171"/>
      <c r="AT51" s="171"/>
      <c r="AU51" s="171"/>
      <c r="AV51" s="171"/>
      <c r="AW51" s="171"/>
      <c r="AX51" s="171"/>
      <c r="AY51" s="171"/>
      <c r="AZ51" s="171"/>
      <c r="BA51" s="171"/>
      <c r="BB51" s="171"/>
      <c r="BC51" s="171"/>
      <c r="BD51" s="171"/>
      <c r="BE51" s="171"/>
      <c r="BF51" s="171"/>
      <c r="BG51" s="171"/>
      <c r="BH51" s="171"/>
      <c r="BI51" s="171"/>
      <c r="BJ51" s="171"/>
      <c r="BK51" s="171"/>
      <c r="BL51" s="171"/>
      <c r="BM51" s="171"/>
      <c r="BN51" s="171"/>
      <c r="BO51" s="171"/>
      <c r="BP51" s="171"/>
      <c r="BQ51" s="171"/>
      <c r="BR51" s="171"/>
      <c r="BS51" s="171"/>
      <c r="BT51" s="171"/>
      <c r="BU51" s="171"/>
      <c r="BV51" s="171"/>
      <c r="BW51" s="172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62"/>
      <c r="CF51" s="436"/>
      <c r="CG51" s="437"/>
      <c r="CH51" s="437"/>
      <c r="CI51" s="437"/>
      <c r="CJ51" s="437"/>
      <c r="CK51" s="43"/>
      <c r="CL51" s="43"/>
      <c r="CM51" s="26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63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63"/>
    </row>
    <row r="52" spans="1:233" ht="21.75" hidden="1" customHeight="1">
      <c r="A52" s="189">
        <f>--SUBTOTAL(2,CN$13:CN52)</f>
        <v>39</v>
      </c>
      <c r="B52" s="638" t="str">
        <f>IF(FILIACIÓN!B49="","",UPPER(FILIACIÓN!B49))</f>
        <v/>
      </c>
      <c r="C52" s="639"/>
      <c r="D52" s="640"/>
      <c r="E52" s="446" t="str">
        <f t="shared" si="3"/>
        <v/>
      </c>
      <c r="F52" s="170"/>
      <c r="G52" s="171"/>
      <c r="H52" s="171"/>
      <c r="I52" s="171"/>
      <c r="J52" s="171"/>
      <c r="K52" s="171"/>
      <c r="L52" s="171"/>
      <c r="M52" s="171"/>
      <c r="N52" s="171"/>
      <c r="O52" s="171"/>
      <c r="P52" s="171"/>
      <c r="Q52" s="171"/>
      <c r="R52" s="171"/>
      <c r="S52" s="171"/>
      <c r="T52" s="171"/>
      <c r="U52" s="171"/>
      <c r="V52" s="171"/>
      <c r="W52" s="171"/>
      <c r="X52" s="171"/>
      <c r="Y52" s="171"/>
      <c r="Z52" s="171"/>
      <c r="AA52" s="171"/>
      <c r="AB52" s="171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2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62"/>
      <c r="CF52" s="436"/>
      <c r="CG52" s="437"/>
      <c r="CH52" s="437"/>
      <c r="CI52" s="437"/>
      <c r="CJ52" s="437"/>
      <c r="CK52" s="43"/>
      <c r="CL52" s="43"/>
      <c r="CM52" s="26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63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63"/>
    </row>
    <row r="53" spans="1:233" ht="21.75" hidden="1" customHeight="1">
      <c r="A53" s="189">
        <f>--SUBTOTAL(2,CN$13:CN53)</f>
        <v>40</v>
      </c>
      <c r="B53" s="638" t="str">
        <f>IF(FILIACIÓN!B50="","",UPPER(FILIACIÓN!B50))</f>
        <v/>
      </c>
      <c r="C53" s="639"/>
      <c r="D53" s="640"/>
      <c r="E53" s="446" t="str">
        <f t="shared" si="3"/>
        <v/>
      </c>
      <c r="F53" s="170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1"/>
      <c r="V53" s="171"/>
      <c r="W53" s="171"/>
      <c r="X53" s="171"/>
      <c r="Y53" s="171"/>
      <c r="Z53" s="171"/>
      <c r="AA53" s="171"/>
      <c r="AB53" s="171"/>
      <c r="AC53" s="171"/>
      <c r="AD53" s="171"/>
      <c r="AE53" s="171"/>
      <c r="AF53" s="171"/>
      <c r="AG53" s="171"/>
      <c r="AH53" s="171"/>
      <c r="AI53" s="171"/>
      <c r="AJ53" s="171"/>
      <c r="AK53" s="171"/>
      <c r="AL53" s="171"/>
      <c r="AM53" s="171"/>
      <c r="AN53" s="171"/>
      <c r="AO53" s="171"/>
      <c r="AP53" s="171"/>
      <c r="AQ53" s="171"/>
      <c r="AR53" s="171"/>
      <c r="AS53" s="171"/>
      <c r="AT53" s="171"/>
      <c r="AU53" s="171"/>
      <c r="AV53" s="171"/>
      <c r="AW53" s="171"/>
      <c r="AX53" s="171"/>
      <c r="AY53" s="171"/>
      <c r="AZ53" s="171"/>
      <c r="BA53" s="171"/>
      <c r="BB53" s="171"/>
      <c r="BC53" s="171"/>
      <c r="BD53" s="171"/>
      <c r="BE53" s="171"/>
      <c r="BF53" s="171"/>
      <c r="BG53" s="171"/>
      <c r="BH53" s="171"/>
      <c r="BI53" s="171"/>
      <c r="BJ53" s="171"/>
      <c r="BK53" s="171"/>
      <c r="BL53" s="171"/>
      <c r="BM53" s="171"/>
      <c r="BN53" s="171"/>
      <c r="BO53" s="171"/>
      <c r="BP53" s="171"/>
      <c r="BQ53" s="171"/>
      <c r="BR53" s="171"/>
      <c r="BS53" s="171"/>
      <c r="BT53" s="171"/>
      <c r="BU53" s="171"/>
      <c r="BV53" s="171"/>
      <c r="BW53" s="172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62"/>
      <c r="CF53" s="436"/>
      <c r="CG53" s="437"/>
      <c r="CH53" s="437"/>
      <c r="CI53" s="437"/>
      <c r="CJ53" s="437"/>
      <c r="CK53" s="43"/>
      <c r="CL53" s="43"/>
      <c r="CM53" s="26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63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63"/>
    </row>
    <row r="54" spans="1:233" ht="21.75" hidden="1" customHeight="1">
      <c r="A54" s="189">
        <f>--SUBTOTAL(2,CN$13:CN54)</f>
        <v>41</v>
      </c>
      <c r="B54" s="638" t="str">
        <f>IF(FILIACIÓN!B51="","",UPPER(FILIACIÓN!B51))</f>
        <v/>
      </c>
      <c r="C54" s="639"/>
      <c r="D54" s="640"/>
      <c r="E54" s="446" t="str">
        <f t="shared" si="3"/>
        <v/>
      </c>
      <c r="F54" s="170"/>
      <c r="G54" s="171"/>
      <c r="H54" s="171"/>
      <c r="I54" s="171"/>
      <c r="J54" s="171"/>
      <c r="K54" s="171"/>
      <c r="L54" s="171"/>
      <c r="M54" s="171"/>
      <c r="N54" s="171"/>
      <c r="O54" s="171"/>
      <c r="P54" s="171"/>
      <c r="Q54" s="171"/>
      <c r="R54" s="171"/>
      <c r="S54" s="171"/>
      <c r="T54" s="171"/>
      <c r="U54" s="171"/>
      <c r="V54" s="171"/>
      <c r="W54" s="171"/>
      <c r="X54" s="171"/>
      <c r="Y54" s="171"/>
      <c r="Z54" s="171"/>
      <c r="AA54" s="171"/>
      <c r="AB54" s="171"/>
      <c r="AC54" s="171"/>
      <c r="AD54" s="171"/>
      <c r="AE54" s="171"/>
      <c r="AF54" s="171"/>
      <c r="AG54" s="171"/>
      <c r="AH54" s="171"/>
      <c r="AI54" s="171"/>
      <c r="AJ54" s="171"/>
      <c r="AK54" s="171"/>
      <c r="AL54" s="171"/>
      <c r="AM54" s="171"/>
      <c r="AN54" s="171"/>
      <c r="AO54" s="171"/>
      <c r="AP54" s="171"/>
      <c r="AQ54" s="171"/>
      <c r="AR54" s="171"/>
      <c r="AS54" s="171"/>
      <c r="AT54" s="171"/>
      <c r="AU54" s="171"/>
      <c r="AV54" s="171"/>
      <c r="AW54" s="171"/>
      <c r="AX54" s="171"/>
      <c r="AY54" s="171"/>
      <c r="AZ54" s="171"/>
      <c r="BA54" s="171"/>
      <c r="BB54" s="171"/>
      <c r="BC54" s="171"/>
      <c r="BD54" s="171"/>
      <c r="BE54" s="171"/>
      <c r="BF54" s="171"/>
      <c r="BG54" s="171"/>
      <c r="BH54" s="171"/>
      <c r="BI54" s="171"/>
      <c r="BJ54" s="171"/>
      <c r="BK54" s="171"/>
      <c r="BL54" s="171"/>
      <c r="BM54" s="171"/>
      <c r="BN54" s="171"/>
      <c r="BO54" s="171"/>
      <c r="BP54" s="171"/>
      <c r="BQ54" s="171"/>
      <c r="BR54" s="171"/>
      <c r="BS54" s="171"/>
      <c r="BT54" s="171"/>
      <c r="BU54" s="171"/>
      <c r="BV54" s="171"/>
      <c r="BW54" s="172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62"/>
      <c r="CF54" s="436"/>
      <c r="CG54" s="437"/>
      <c r="CH54" s="437"/>
      <c r="CI54" s="437"/>
      <c r="CJ54" s="437"/>
      <c r="CK54" s="43"/>
      <c r="CL54" s="43"/>
      <c r="CM54" s="26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63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63"/>
    </row>
    <row r="55" spans="1:233" ht="21.75" hidden="1" customHeight="1">
      <c r="A55" s="189">
        <f>--SUBTOTAL(2,CN$13:CN55)</f>
        <v>42</v>
      </c>
      <c r="B55" s="638" t="str">
        <f>IF(FILIACIÓN!B52="","",UPPER(FILIACIÓN!B52))</f>
        <v/>
      </c>
      <c r="C55" s="639"/>
      <c r="D55" s="640"/>
      <c r="E55" s="446" t="str">
        <f t="shared" si="3"/>
        <v/>
      </c>
      <c r="F55" s="170"/>
      <c r="G55" s="171"/>
      <c r="H55" s="171"/>
      <c r="I55" s="171"/>
      <c r="J55" s="171"/>
      <c r="K55" s="171"/>
      <c r="L55" s="171"/>
      <c r="M55" s="171"/>
      <c r="N55" s="171"/>
      <c r="O55" s="171"/>
      <c r="P55" s="171"/>
      <c r="Q55" s="171"/>
      <c r="R55" s="171"/>
      <c r="S55" s="171"/>
      <c r="T55" s="171"/>
      <c r="U55" s="171"/>
      <c r="V55" s="171"/>
      <c r="W55" s="171"/>
      <c r="X55" s="171"/>
      <c r="Y55" s="171"/>
      <c r="Z55" s="171"/>
      <c r="AA55" s="171"/>
      <c r="AB55" s="171"/>
      <c r="AC55" s="171"/>
      <c r="AD55" s="171"/>
      <c r="AE55" s="171"/>
      <c r="AF55" s="171"/>
      <c r="AG55" s="171"/>
      <c r="AH55" s="171"/>
      <c r="AI55" s="171"/>
      <c r="AJ55" s="171"/>
      <c r="AK55" s="171"/>
      <c r="AL55" s="171"/>
      <c r="AM55" s="171"/>
      <c r="AN55" s="171"/>
      <c r="AO55" s="171"/>
      <c r="AP55" s="171"/>
      <c r="AQ55" s="171"/>
      <c r="AR55" s="171"/>
      <c r="AS55" s="171"/>
      <c r="AT55" s="171"/>
      <c r="AU55" s="171"/>
      <c r="AV55" s="171"/>
      <c r="AW55" s="171"/>
      <c r="AX55" s="171"/>
      <c r="AY55" s="171"/>
      <c r="AZ55" s="171"/>
      <c r="BA55" s="171"/>
      <c r="BB55" s="171"/>
      <c r="BC55" s="171"/>
      <c r="BD55" s="171"/>
      <c r="BE55" s="171"/>
      <c r="BF55" s="171"/>
      <c r="BG55" s="171"/>
      <c r="BH55" s="171"/>
      <c r="BI55" s="171"/>
      <c r="BJ55" s="171"/>
      <c r="BK55" s="171"/>
      <c r="BL55" s="171"/>
      <c r="BM55" s="171"/>
      <c r="BN55" s="171"/>
      <c r="BO55" s="171"/>
      <c r="BP55" s="171"/>
      <c r="BQ55" s="171"/>
      <c r="BR55" s="171"/>
      <c r="BS55" s="171"/>
      <c r="BT55" s="171"/>
      <c r="BU55" s="171"/>
      <c r="BV55" s="171"/>
      <c r="BW55" s="172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62"/>
      <c r="CF55" s="436"/>
      <c r="CG55" s="437"/>
      <c r="CH55" s="437"/>
      <c r="CI55" s="437"/>
      <c r="CJ55" s="437"/>
      <c r="CK55" s="43"/>
      <c r="CL55" s="43"/>
      <c r="CM55" s="26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63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63"/>
    </row>
    <row r="56" spans="1:233" ht="21.75" hidden="1" customHeight="1">
      <c r="A56" s="189">
        <f>--SUBTOTAL(2,CN$13:CN56)</f>
        <v>43</v>
      </c>
      <c r="B56" s="638" t="str">
        <f>IF(FILIACIÓN!B53="","",UPPER(FILIACIÓN!B53))</f>
        <v/>
      </c>
      <c r="C56" s="639"/>
      <c r="D56" s="640"/>
      <c r="E56" s="446" t="str">
        <f t="shared" si="3"/>
        <v/>
      </c>
      <c r="F56" s="170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1"/>
      <c r="V56" s="171"/>
      <c r="W56" s="171"/>
      <c r="X56" s="171"/>
      <c r="Y56" s="171"/>
      <c r="Z56" s="171"/>
      <c r="AA56" s="171"/>
      <c r="AB56" s="171"/>
      <c r="AC56" s="171"/>
      <c r="AD56" s="171"/>
      <c r="AE56" s="171"/>
      <c r="AF56" s="171"/>
      <c r="AG56" s="171"/>
      <c r="AH56" s="171"/>
      <c r="AI56" s="171"/>
      <c r="AJ56" s="171"/>
      <c r="AK56" s="171"/>
      <c r="AL56" s="171"/>
      <c r="AM56" s="171"/>
      <c r="AN56" s="171"/>
      <c r="AO56" s="171"/>
      <c r="AP56" s="171"/>
      <c r="AQ56" s="171"/>
      <c r="AR56" s="171"/>
      <c r="AS56" s="171"/>
      <c r="AT56" s="171"/>
      <c r="AU56" s="171"/>
      <c r="AV56" s="171"/>
      <c r="AW56" s="171"/>
      <c r="AX56" s="171"/>
      <c r="AY56" s="171"/>
      <c r="AZ56" s="171"/>
      <c r="BA56" s="171"/>
      <c r="BB56" s="171"/>
      <c r="BC56" s="171"/>
      <c r="BD56" s="171"/>
      <c r="BE56" s="171"/>
      <c r="BF56" s="171"/>
      <c r="BG56" s="171"/>
      <c r="BH56" s="171"/>
      <c r="BI56" s="171"/>
      <c r="BJ56" s="171"/>
      <c r="BK56" s="171"/>
      <c r="BL56" s="171"/>
      <c r="BM56" s="171"/>
      <c r="BN56" s="171"/>
      <c r="BO56" s="171"/>
      <c r="BP56" s="171"/>
      <c r="BQ56" s="171"/>
      <c r="BR56" s="171"/>
      <c r="BS56" s="171"/>
      <c r="BT56" s="171"/>
      <c r="BU56" s="171"/>
      <c r="BV56" s="171"/>
      <c r="BW56" s="172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62"/>
      <c r="CF56" s="436"/>
      <c r="CG56" s="437"/>
      <c r="CH56" s="437"/>
      <c r="CI56" s="437"/>
      <c r="CJ56" s="437"/>
      <c r="CK56" s="43"/>
      <c r="CL56" s="43"/>
      <c r="CM56" s="26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63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63"/>
    </row>
    <row r="57" spans="1:233" ht="21.75" hidden="1" customHeight="1">
      <c r="A57" s="189">
        <f>--SUBTOTAL(2,CN$13:CN57)</f>
        <v>44</v>
      </c>
      <c r="B57" s="638" t="str">
        <f>IF(FILIACIÓN!B54="","",UPPER(FILIACIÓN!B54))</f>
        <v/>
      </c>
      <c r="C57" s="639"/>
      <c r="D57" s="640"/>
      <c r="E57" s="446" t="str">
        <f t="shared" si="3"/>
        <v/>
      </c>
      <c r="F57" s="170"/>
      <c r="G57" s="171"/>
      <c r="H57" s="171"/>
      <c r="I57" s="171"/>
      <c r="J57" s="171"/>
      <c r="K57" s="171"/>
      <c r="L57" s="171"/>
      <c r="M57" s="171"/>
      <c r="N57" s="171"/>
      <c r="O57" s="171"/>
      <c r="P57" s="171"/>
      <c r="Q57" s="171"/>
      <c r="R57" s="171"/>
      <c r="S57" s="171"/>
      <c r="T57" s="171"/>
      <c r="U57" s="171"/>
      <c r="V57" s="171"/>
      <c r="W57" s="171"/>
      <c r="X57" s="171"/>
      <c r="Y57" s="171"/>
      <c r="Z57" s="171"/>
      <c r="AA57" s="171"/>
      <c r="AB57" s="171"/>
      <c r="AC57" s="171"/>
      <c r="AD57" s="171"/>
      <c r="AE57" s="171"/>
      <c r="AF57" s="171"/>
      <c r="AG57" s="171"/>
      <c r="AH57" s="171"/>
      <c r="AI57" s="171"/>
      <c r="AJ57" s="171"/>
      <c r="AK57" s="171"/>
      <c r="AL57" s="171"/>
      <c r="AM57" s="171"/>
      <c r="AN57" s="171"/>
      <c r="AO57" s="171"/>
      <c r="AP57" s="171"/>
      <c r="AQ57" s="171"/>
      <c r="AR57" s="171"/>
      <c r="AS57" s="171"/>
      <c r="AT57" s="171"/>
      <c r="AU57" s="171"/>
      <c r="AV57" s="171"/>
      <c r="AW57" s="171"/>
      <c r="AX57" s="171"/>
      <c r="AY57" s="171"/>
      <c r="AZ57" s="171"/>
      <c r="BA57" s="171"/>
      <c r="BB57" s="171"/>
      <c r="BC57" s="171"/>
      <c r="BD57" s="171"/>
      <c r="BE57" s="171"/>
      <c r="BF57" s="171"/>
      <c r="BG57" s="171"/>
      <c r="BH57" s="171"/>
      <c r="BI57" s="171"/>
      <c r="BJ57" s="171"/>
      <c r="BK57" s="171"/>
      <c r="BL57" s="171"/>
      <c r="BM57" s="171"/>
      <c r="BN57" s="171"/>
      <c r="BO57" s="171"/>
      <c r="BP57" s="171"/>
      <c r="BQ57" s="171"/>
      <c r="BR57" s="171"/>
      <c r="BS57" s="171"/>
      <c r="BT57" s="171"/>
      <c r="BU57" s="171"/>
      <c r="BV57" s="171"/>
      <c r="BW57" s="172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26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38" t="str">
        <f>IF(FILIACIÓN!B55="","",UPPER(FILIACIÓN!B55))</f>
        <v/>
      </c>
      <c r="C58" s="639"/>
      <c r="D58" s="640"/>
      <c r="E58" s="446" t="str">
        <f t="shared" si="3"/>
        <v/>
      </c>
      <c r="F58" s="170"/>
      <c r="G58" s="171"/>
      <c r="H58" s="171"/>
      <c r="I58" s="171"/>
      <c r="J58" s="171"/>
      <c r="K58" s="171"/>
      <c r="L58" s="171"/>
      <c r="M58" s="171"/>
      <c r="N58" s="171"/>
      <c r="O58" s="171"/>
      <c r="P58" s="171"/>
      <c r="Q58" s="171"/>
      <c r="R58" s="171"/>
      <c r="S58" s="171"/>
      <c r="T58" s="171"/>
      <c r="U58" s="171"/>
      <c r="V58" s="171"/>
      <c r="W58" s="171"/>
      <c r="X58" s="171"/>
      <c r="Y58" s="171"/>
      <c r="Z58" s="171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2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26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38" t="str">
        <f>IF(FILIACIÓN!B56="","",UPPER(FILIACIÓN!B56))</f>
        <v/>
      </c>
      <c r="C59" s="639"/>
      <c r="D59" s="640"/>
      <c r="E59" s="446" t="str">
        <f t="shared" si="3"/>
        <v/>
      </c>
      <c r="F59" s="170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71"/>
      <c r="W59" s="171"/>
      <c r="X59" s="171"/>
      <c r="Y59" s="171"/>
      <c r="Z59" s="171"/>
      <c r="AA59" s="171"/>
      <c r="AB59" s="171"/>
      <c r="AC59" s="171"/>
      <c r="AD59" s="171"/>
      <c r="AE59" s="171"/>
      <c r="AF59" s="171"/>
      <c r="AG59" s="171"/>
      <c r="AH59" s="171"/>
      <c r="AI59" s="171"/>
      <c r="AJ59" s="171"/>
      <c r="AK59" s="171"/>
      <c r="AL59" s="171"/>
      <c r="AM59" s="171"/>
      <c r="AN59" s="171"/>
      <c r="AO59" s="171"/>
      <c r="AP59" s="171"/>
      <c r="AQ59" s="171"/>
      <c r="AR59" s="171"/>
      <c r="AS59" s="171"/>
      <c r="AT59" s="171"/>
      <c r="AU59" s="171"/>
      <c r="AV59" s="171"/>
      <c r="AW59" s="171"/>
      <c r="AX59" s="171"/>
      <c r="AY59" s="171"/>
      <c r="AZ59" s="171"/>
      <c r="BA59" s="171"/>
      <c r="BB59" s="171"/>
      <c r="BC59" s="171"/>
      <c r="BD59" s="171"/>
      <c r="BE59" s="171"/>
      <c r="BF59" s="171"/>
      <c r="BG59" s="171"/>
      <c r="BH59" s="171"/>
      <c r="BI59" s="171"/>
      <c r="BJ59" s="171"/>
      <c r="BK59" s="171"/>
      <c r="BL59" s="171"/>
      <c r="BM59" s="171"/>
      <c r="BN59" s="171"/>
      <c r="BO59" s="171"/>
      <c r="BP59" s="171"/>
      <c r="BQ59" s="171"/>
      <c r="BR59" s="171"/>
      <c r="BS59" s="171"/>
      <c r="BT59" s="171"/>
      <c r="BU59" s="171"/>
      <c r="BV59" s="171"/>
      <c r="BW59" s="172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26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38" t="str">
        <f>IF(FILIACIÓN!B57="","",UPPER(FILIACIÓN!B57))</f>
        <v/>
      </c>
      <c r="C60" s="639"/>
      <c r="D60" s="640"/>
      <c r="E60" s="446" t="str">
        <f t="shared" si="3"/>
        <v/>
      </c>
      <c r="F60" s="170"/>
      <c r="G60" s="171"/>
      <c r="H60" s="171"/>
      <c r="I60" s="171"/>
      <c r="J60" s="171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71"/>
      <c r="W60" s="171"/>
      <c r="X60" s="171"/>
      <c r="Y60" s="171"/>
      <c r="Z60" s="171"/>
      <c r="AA60" s="171"/>
      <c r="AB60" s="171"/>
      <c r="AC60" s="171"/>
      <c r="AD60" s="171"/>
      <c r="AE60" s="171"/>
      <c r="AF60" s="171"/>
      <c r="AG60" s="171"/>
      <c r="AH60" s="171"/>
      <c r="AI60" s="171"/>
      <c r="AJ60" s="171"/>
      <c r="AK60" s="171"/>
      <c r="AL60" s="171"/>
      <c r="AM60" s="171"/>
      <c r="AN60" s="171"/>
      <c r="AO60" s="171"/>
      <c r="AP60" s="171"/>
      <c r="AQ60" s="171"/>
      <c r="AR60" s="171"/>
      <c r="AS60" s="171"/>
      <c r="AT60" s="171"/>
      <c r="AU60" s="171"/>
      <c r="AV60" s="171"/>
      <c r="AW60" s="171"/>
      <c r="AX60" s="171"/>
      <c r="AY60" s="171"/>
      <c r="AZ60" s="171"/>
      <c r="BA60" s="171"/>
      <c r="BB60" s="171"/>
      <c r="BC60" s="171"/>
      <c r="BD60" s="171"/>
      <c r="BE60" s="171"/>
      <c r="BF60" s="171"/>
      <c r="BG60" s="171"/>
      <c r="BH60" s="171"/>
      <c r="BI60" s="171"/>
      <c r="BJ60" s="171"/>
      <c r="BK60" s="171"/>
      <c r="BL60" s="171"/>
      <c r="BM60" s="171"/>
      <c r="BN60" s="171"/>
      <c r="BO60" s="171"/>
      <c r="BP60" s="171"/>
      <c r="BQ60" s="171"/>
      <c r="BR60" s="171"/>
      <c r="BS60" s="171"/>
      <c r="BT60" s="171"/>
      <c r="BU60" s="171"/>
      <c r="BV60" s="171"/>
      <c r="BW60" s="172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26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38" t="str">
        <f>IF(FILIACIÓN!B58="","",UPPER(FILIACIÓN!B58))</f>
        <v/>
      </c>
      <c r="C61" s="639"/>
      <c r="D61" s="640"/>
      <c r="E61" s="446" t="str">
        <f t="shared" si="3"/>
        <v/>
      </c>
      <c r="F61" s="170"/>
      <c r="G61" s="171"/>
      <c r="H61" s="171"/>
      <c r="I61" s="171"/>
      <c r="J61" s="171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71"/>
      <c r="W61" s="171"/>
      <c r="X61" s="171"/>
      <c r="Y61" s="171"/>
      <c r="Z61" s="171"/>
      <c r="AA61" s="171"/>
      <c r="AB61" s="171"/>
      <c r="AC61" s="171"/>
      <c r="AD61" s="171"/>
      <c r="AE61" s="171"/>
      <c r="AF61" s="171"/>
      <c r="AG61" s="171"/>
      <c r="AH61" s="171"/>
      <c r="AI61" s="171"/>
      <c r="AJ61" s="171"/>
      <c r="AK61" s="171"/>
      <c r="AL61" s="171"/>
      <c r="AM61" s="171"/>
      <c r="AN61" s="171"/>
      <c r="AO61" s="171"/>
      <c r="AP61" s="171"/>
      <c r="AQ61" s="171"/>
      <c r="AR61" s="171"/>
      <c r="AS61" s="171"/>
      <c r="AT61" s="171"/>
      <c r="AU61" s="171"/>
      <c r="AV61" s="171"/>
      <c r="AW61" s="171"/>
      <c r="AX61" s="171"/>
      <c r="AY61" s="171"/>
      <c r="AZ61" s="171"/>
      <c r="BA61" s="171"/>
      <c r="BB61" s="171"/>
      <c r="BC61" s="171"/>
      <c r="BD61" s="171"/>
      <c r="BE61" s="171"/>
      <c r="BF61" s="171"/>
      <c r="BG61" s="171"/>
      <c r="BH61" s="171"/>
      <c r="BI61" s="171"/>
      <c r="BJ61" s="171"/>
      <c r="BK61" s="171"/>
      <c r="BL61" s="171"/>
      <c r="BM61" s="171"/>
      <c r="BN61" s="171"/>
      <c r="BO61" s="171"/>
      <c r="BP61" s="171"/>
      <c r="BQ61" s="171"/>
      <c r="BR61" s="171"/>
      <c r="BS61" s="171"/>
      <c r="BT61" s="171"/>
      <c r="BU61" s="171"/>
      <c r="BV61" s="171"/>
      <c r="BW61" s="172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26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38" t="str">
        <f>IF(FILIACIÓN!B59="","",UPPER(FILIACIÓN!B59))</f>
        <v/>
      </c>
      <c r="C62" s="639"/>
      <c r="D62" s="640"/>
      <c r="E62" s="446" t="str">
        <f t="shared" si="3"/>
        <v/>
      </c>
      <c r="F62" s="170"/>
      <c r="G62" s="171"/>
      <c r="H62" s="171"/>
      <c r="I62" s="171"/>
      <c r="J62" s="171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71"/>
      <c r="W62" s="171"/>
      <c r="X62" s="171"/>
      <c r="Y62" s="171"/>
      <c r="Z62" s="171"/>
      <c r="AA62" s="171"/>
      <c r="AB62" s="171"/>
      <c r="AC62" s="171"/>
      <c r="AD62" s="171"/>
      <c r="AE62" s="171"/>
      <c r="AF62" s="171"/>
      <c r="AG62" s="171"/>
      <c r="AH62" s="171"/>
      <c r="AI62" s="171"/>
      <c r="AJ62" s="171"/>
      <c r="AK62" s="171"/>
      <c r="AL62" s="171"/>
      <c r="AM62" s="171"/>
      <c r="AN62" s="171"/>
      <c r="AO62" s="171"/>
      <c r="AP62" s="171"/>
      <c r="AQ62" s="171"/>
      <c r="AR62" s="171"/>
      <c r="AS62" s="171"/>
      <c r="AT62" s="171"/>
      <c r="AU62" s="171"/>
      <c r="AV62" s="171"/>
      <c r="AW62" s="171"/>
      <c r="AX62" s="171"/>
      <c r="AY62" s="171"/>
      <c r="AZ62" s="171"/>
      <c r="BA62" s="171"/>
      <c r="BB62" s="171"/>
      <c r="BC62" s="171"/>
      <c r="BD62" s="171"/>
      <c r="BE62" s="171"/>
      <c r="BF62" s="171"/>
      <c r="BG62" s="171"/>
      <c r="BH62" s="171"/>
      <c r="BI62" s="171"/>
      <c r="BJ62" s="171"/>
      <c r="BK62" s="171"/>
      <c r="BL62" s="171"/>
      <c r="BM62" s="171"/>
      <c r="BN62" s="171"/>
      <c r="BO62" s="171"/>
      <c r="BP62" s="171"/>
      <c r="BQ62" s="171"/>
      <c r="BR62" s="171"/>
      <c r="BS62" s="171"/>
      <c r="BT62" s="171"/>
      <c r="BU62" s="171"/>
      <c r="BV62" s="171"/>
      <c r="BW62" s="172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62"/>
      <c r="CF62" s="436"/>
      <c r="CG62" s="437"/>
      <c r="CH62" s="437"/>
      <c r="CI62" s="437"/>
      <c r="CJ62" s="437"/>
      <c r="CK62" s="43"/>
      <c r="CL62" s="43"/>
      <c r="CM62" s="26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63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63"/>
    </row>
    <row r="63" spans="1:233" ht="21.75" hidden="1" customHeight="1" thickBot="1">
      <c r="A63" s="190">
        <f>--SUBTOTAL(2,CN$13:CN63)</f>
        <v>50</v>
      </c>
      <c r="B63" s="644" t="str">
        <f>IF(FILIACIÓN!B60="","",UPPER(FILIACIÓN!B60))</f>
        <v/>
      </c>
      <c r="C63" s="645"/>
      <c r="D63" s="646"/>
      <c r="E63" s="447" t="str">
        <f t="shared" si="3"/>
        <v/>
      </c>
      <c r="F63" s="173"/>
      <c r="G63" s="174"/>
      <c r="H63" s="174"/>
      <c r="I63" s="174"/>
      <c r="J63" s="174"/>
      <c r="K63" s="174"/>
      <c r="L63" s="174"/>
      <c r="M63" s="174"/>
      <c r="N63" s="174"/>
      <c r="O63" s="174"/>
      <c r="P63" s="174"/>
      <c r="Q63" s="174"/>
      <c r="R63" s="174"/>
      <c r="S63" s="174"/>
      <c r="T63" s="174"/>
      <c r="U63" s="174"/>
      <c r="V63" s="174"/>
      <c r="W63" s="174"/>
      <c r="X63" s="174"/>
      <c r="Y63" s="174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  <c r="AP63" s="174"/>
      <c r="AQ63" s="174"/>
      <c r="AR63" s="174"/>
      <c r="AS63" s="174"/>
      <c r="AT63" s="174"/>
      <c r="AU63" s="174"/>
      <c r="AV63" s="174"/>
      <c r="AW63" s="174"/>
      <c r="AX63" s="174"/>
      <c r="AY63" s="174"/>
      <c r="AZ63" s="174"/>
      <c r="BA63" s="174"/>
      <c r="BB63" s="174"/>
      <c r="BC63" s="174"/>
      <c r="BD63" s="174"/>
      <c r="BE63" s="174"/>
      <c r="BF63" s="174"/>
      <c r="BG63" s="174"/>
      <c r="BH63" s="174"/>
      <c r="BI63" s="174"/>
      <c r="BJ63" s="174"/>
      <c r="BK63" s="174"/>
      <c r="BL63" s="174"/>
      <c r="BM63" s="174"/>
      <c r="BN63" s="174"/>
      <c r="BO63" s="174"/>
      <c r="BP63" s="174"/>
      <c r="BQ63" s="174"/>
      <c r="BR63" s="174"/>
      <c r="BS63" s="174"/>
      <c r="BT63" s="174"/>
      <c r="BU63" s="174"/>
      <c r="BV63" s="174"/>
      <c r="BW63" s="175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26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50" t="s">
        <v>278</v>
      </c>
      <c r="D66" s="651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47" t="s">
        <v>356</v>
      </c>
      <c r="B72" s="647"/>
      <c r="C72" s="647"/>
    </row>
    <row r="73" spans="1:233" ht="15.75">
      <c r="A73" s="648" t="s">
        <v>357</v>
      </c>
      <c r="B73" s="648"/>
      <c r="C73" s="539">
        <v>25</v>
      </c>
    </row>
  </sheetData>
  <sheetProtection password="CF7A" sheet="1" scenarios="1" autoFilter="0"/>
  <autoFilter ref="CL13:CM63"/>
  <mergeCells count="97">
    <mergeCell ref="A72:C72"/>
    <mergeCell ref="A73:B73"/>
    <mergeCell ref="L4:CB4"/>
    <mergeCell ref="C66:D66"/>
    <mergeCell ref="B48:D48"/>
    <mergeCell ref="B47:D47"/>
    <mergeCell ref="F11:BW11"/>
    <mergeCell ref="B53:D53"/>
    <mergeCell ref="B52:D52"/>
    <mergeCell ref="B51:D51"/>
    <mergeCell ref="B50:D50"/>
    <mergeCell ref="B49:D49"/>
    <mergeCell ref="B30:D30"/>
    <mergeCell ref="B29:D29"/>
    <mergeCell ref="B28:D28"/>
    <mergeCell ref="B27:D27"/>
    <mergeCell ref="B46:D46"/>
    <mergeCell ref="B45:D45"/>
    <mergeCell ref="B44:D44"/>
    <mergeCell ref="B43:D43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42:D42"/>
    <mergeCell ref="B41:D41"/>
    <mergeCell ref="B40:D40"/>
    <mergeCell ref="B39:D39"/>
    <mergeCell ref="B38:D38"/>
    <mergeCell ref="B37:D37"/>
    <mergeCell ref="B36:D36"/>
    <mergeCell ref="B35:D35"/>
    <mergeCell ref="B34:D34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HY9:HY13"/>
    <mergeCell ref="GO10:GS10"/>
    <mergeCell ref="GU10:GY10"/>
    <mergeCell ref="HA10:HE10"/>
    <mergeCell ref="HG10:HK10"/>
    <mergeCell ref="HM10:HQ10"/>
    <mergeCell ref="HS10:HW10"/>
    <mergeCell ref="GO9:HX9"/>
    <mergeCell ref="GO11:GS11"/>
    <mergeCell ref="GU11:GY11"/>
    <mergeCell ref="HA11:HE11"/>
    <mergeCell ref="HG11:HK11"/>
    <mergeCell ref="HM11:HQ11"/>
    <mergeCell ref="FU10:FY10"/>
    <mergeCell ref="A12:D12"/>
    <mergeCell ref="B13:D13"/>
    <mergeCell ref="CC9:CC13"/>
    <mergeCell ref="CD9:CD13"/>
    <mergeCell ref="EZ9:EZ13"/>
    <mergeCell ref="BZ9:BZ13"/>
    <mergeCell ref="BX9:BY9"/>
    <mergeCell ref="BY10:BY13"/>
    <mergeCell ref="CA9:CA13"/>
    <mergeCell ref="CB9:CB13"/>
    <mergeCell ref="BX10:BX13"/>
    <mergeCell ref="FO10:FS10"/>
    <mergeCell ref="L2:CB2"/>
    <mergeCell ref="CD6:CD7"/>
    <mergeCell ref="HS11:HW11"/>
    <mergeCell ref="GG11:GK11"/>
    <mergeCell ref="FC9:GL9"/>
    <mergeCell ref="GM9:GM13"/>
    <mergeCell ref="GG10:GK10"/>
    <mergeCell ref="GA10:GE10"/>
    <mergeCell ref="FC11:FG11"/>
    <mergeCell ref="FI11:FM11"/>
    <mergeCell ref="FO11:FS11"/>
    <mergeCell ref="FU11:FY11"/>
    <mergeCell ref="GA11:GE11"/>
    <mergeCell ref="FC10:FG10"/>
    <mergeCell ref="FI10:FM10"/>
    <mergeCell ref="BX8:CB8"/>
  </mergeCells>
  <conditionalFormatting sqref="CD14:CD63">
    <cfRule type="containsErrors" dxfId="46" priority="4">
      <formula>ISERROR(CD14)</formula>
    </cfRule>
  </conditionalFormatting>
  <conditionalFormatting sqref="BX10:BY10 BZ9:CB13 F13:BW13">
    <cfRule type="expression" dxfId="45" priority="3">
      <formula>COLUMN()=CELL("Columna")</formula>
    </cfRule>
  </conditionalFormatting>
  <conditionalFormatting sqref="A14:B63 F14:CD63">
    <cfRule type="expression" dxfId="44" priority="2">
      <formula>ROW()=CELL("Fila")</formula>
    </cfRule>
  </conditionalFormatting>
  <conditionalFormatting sqref="F14:BW63">
    <cfRule type="cellIs" dxfId="43" priority="9" operator="equal">
      <formula>"T"</formula>
    </cfRule>
    <cfRule type="cellIs" dxfId="42" priority="33" operator="equal">
      <formula>"F"</formula>
    </cfRule>
    <cfRule type="cellIs" dxfId="41" priority="34" operator="equal">
      <formula>"L"</formula>
    </cfRule>
  </conditionalFormatting>
  <conditionalFormatting sqref="BX14:CD63">
    <cfRule type="cellIs" dxfId="40" priority="5" operator="equal">
      <formula>0</formula>
    </cfRule>
  </conditionalFormatting>
  <conditionalFormatting sqref="CC14:CC63">
    <cfRule type="cellIs" dxfId="39" priority="1" operator="equal">
      <formula>"RETIRADO"</formula>
    </cfRule>
  </conditionalFormatting>
  <dataValidations count="3">
    <dataValidation type="whole" allowBlank="1" showErrorMessage="1" errorTitle="Valor incorrecto" error="Solo se permite valores entre 1 y 10." sqref="K10">
      <formula1>1</formula1>
      <formula2>10</formula2>
    </dataValidation>
    <dataValidation type="whole" allowBlank="1" showErrorMessage="1" errorTitle="Valor incorrecto:" error="Solo se permite valores entre 1 y 10." sqref="AD10 U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76" fitToHeight="0" orientation="portrait" horizontalDpi="4294967294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5" tint="-0.249977111117893"/>
    <pageSetUpPr fitToPage="1"/>
  </sheetPr>
  <dimension ref="A1:KH166"/>
  <sheetViews>
    <sheetView showGridLines="0" showRowColHeaders="0" showZeros="0" zoomScale="85" zoomScaleNormal="85" workbookViewId="0">
      <pane xSplit="4" ySplit="12" topLeftCell="F13" activePane="bottomRight" state="frozen"/>
      <selection activeCell="F13" sqref="F13"/>
      <selection pane="topRight" activeCell="F13" sqref="F13"/>
      <selection pane="bottomLeft" activeCell="F13" sqref="F13"/>
      <selection pane="bottomRight" activeCell="F13" sqref="F13"/>
    </sheetView>
  </sheetViews>
  <sheetFormatPr baseColWidth="10" defaultRowHeight="15" customHeight="1"/>
  <cols>
    <col min="1" max="1" width="4.25" style="1" customWidth="1"/>
    <col min="2" max="2" width="13.75" style="1" customWidth="1"/>
    <col min="3" max="3" width="12.625" style="1" customWidth="1"/>
    <col min="4" max="4" width="17.8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hidden="1" customWidth="1"/>
    <col min="73" max="74" width="5.375" style="424" hidden="1" customWidth="1"/>
    <col min="75" max="76" width="7.5" style="82" hidden="1" customWidth="1"/>
    <col min="77" max="77" width="6.125" style="38" hidden="1" customWidth="1"/>
    <col min="78" max="78" width="5" style="38" hidden="1" customWidth="1"/>
    <col min="79" max="80" width="5" style="26" hidden="1" customWidth="1"/>
    <col min="81" max="81" width="15.875" style="26" customWidth="1"/>
    <col min="82" max="93" width="12.875" style="26" customWidth="1"/>
    <col min="94" max="100" width="7.5" style="26" customWidth="1"/>
    <col min="101" max="102" width="7.5" style="38" customWidth="1"/>
    <col min="103" max="110" width="5" style="38" customWidth="1"/>
    <col min="111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BG2" s="253"/>
      <c r="BH2" s="253"/>
      <c r="BI2" s="253"/>
      <c r="CC2" s="258"/>
      <c r="CD2" s="286" t="s">
        <v>24</v>
      </c>
      <c r="CF2" s="699" t="s">
        <v>183</v>
      </c>
      <c r="CG2" s="699"/>
      <c r="CH2" s="699"/>
      <c r="CI2" s="699"/>
      <c r="CJ2" s="699"/>
      <c r="CK2" s="699"/>
      <c r="CL2" s="699"/>
      <c r="CM2" s="699"/>
      <c r="CN2" s="691" t="s">
        <v>189</v>
      </c>
      <c r="CO2" s="692"/>
    </row>
    <row r="3" spans="1:294" ht="21.75" customHeight="1">
      <c r="A3" s="56"/>
      <c r="C3" s="243" t="str">
        <f>IF(FILIACIÓN!E3="","",FILIACIÓN!E3)</f>
        <v xml:space="preserve">SIE </v>
      </c>
      <c r="E3" s="700" t="s">
        <v>232</v>
      </c>
      <c r="F3" s="700"/>
      <c r="G3" s="700"/>
      <c r="H3" s="700"/>
      <c r="I3" s="700"/>
      <c r="J3" s="700"/>
      <c r="K3" s="700"/>
      <c r="L3" s="700"/>
      <c r="M3" s="700"/>
      <c r="N3" s="700"/>
      <c r="O3" s="700"/>
      <c r="P3" s="700"/>
      <c r="Q3" s="700"/>
      <c r="R3" s="700"/>
      <c r="S3" s="700"/>
      <c r="T3" s="700"/>
      <c r="U3" s="700"/>
      <c r="V3" s="700"/>
      <c r="W3" s="700"/>
      <c r="X3" s="700"/>
      <c r="Y3" s="700"/>
      <c r="Z3" s="700"/>
      <c r="AA3" s="700"/>
      <c r="AB3" s="700"/>
      <c r="AC3" s="700"/>
      <c r="AD3" s="700"/>
      <c r="AE3" s="700"/>
      <c r="AF3" s="700"/>
      <c r="AG3" s="700"/>
      <c r="AH3" s="700"/>
      <c r="AI3" s="700"/>
      <c r="AJ3" s="700"/>
      <c r="AK3" s="700"/>
      <c r="AL3" s="700"/>
      <c r="AM3" s="700"/>
      <c r="AN3" s="700"/>
      <c r="AO3" s="700"/>
      <c r="AP3" s="700"/>
      <c r="AQ3" s="700"/>
      <c r="AR3" s="700"/>
      <c r="AS3" s="700"/>
      <c r="AT3" s="700"/>
      <c r="AU3" s="700"/>
      <c r="AV3" s="700"/>
      <c r="AW3" s="700"/>
      <c r="AX3" s="700"/>
      <c r="AY3" s="700"/>
      <c r="AZ3" s="700"/>
      <c r="BA3" s="700"/>
      <c r="BB3" s="700"/>
      <c r="BC3" s="700"/>
      <c r="BD3" s="700"/>
      <c r="BE3" s="700"/>
      <c r="BF3" s="700"/>
      <c r="BG3" s="700"/>
      <c r="BH3" s="700"/>
      <c r="BI3" s="700"/>
      <c r="BJ3" s="28"/>
      <c r="BK3" s="28"/>
      <c r="BL3" s="28"/>
      <c r="BM3" s="28"/>
      <c r="BN3" s="33"/>
      <c r="BO3" s="106"/>
      <c r="CC3" s="245" t="s">
        <v>14</v>
      </c>
      <c r="CD3" s="287">
        <f>COUNTIF($BP$13:$BP$62,"EFECTIVO")</f>
        <v>0</v>
      </c>
      <c r="CF3" s="696" t="s">
        <v>184</v>
      </c>
      <c r="CG3" s="696"/>
      <c r="CH3" s="697" t="s">
        <v>190</v>
      </c>
      <c r="CI3" s="697"/>
      <c r="CJ3" s="698" t="s">
        <v>185</v>
      </c>
      <c r="CK3" s="698"/>
      <c r="CL3" s="695" t="s">
        <v>244</v>
      </c>
      <c r="CM3" s="695"/>
      <c r="CN3" s="693"/>
      <c r="CO3" s="694"/>
    </row>
    <row r="4" spans="1:294" ht="21.75" customHeight="1" thickBot="1">
      <c r="A4" s="56"/>
      <c r="C4" s="42" t="str">
        <f>IF(FILIACIÓN!C3="","",FILIACIÓN!C3)</f>
        <v xml:space="preserve">TURNO </v>
      </c>
      <c r="E4" s="700"/>
      <c r="F4" s="700"/>
      <c r="G4" s="700"/>
      <c r="H4" s="700"/>
      <c r="I4" s="700"/>
      <c r="J4" s="700"/>
      <c r="K4" s="700"/>
      <c r="L4" s="700"/>
      <c r="M4" s="700"/>
      <c r="N4" s="700"/>
      <c r="O4" s="700"/>
      <c r="P4" s="700"/>
      <c r="Q4" s="700"/>
      <c r="R4" s="700"/>
      <c r="S4" s="700"/>
      <c r="T4" s="700"/>
      <c r="U4" s="700"/>
      <c r="V4" s="700"/>
      <c r="W4" s="700"/>
      <c r="X4" s="700"/>
      <c r="Y4" s="700"/>
      <c r="Z4" s="700"/>
      <c r="AA4" s="700"/>
      <c r="AB4" s="700"/>
      <c r="AC4" s="700"/>
      <c r="AD4" s="700"/>
      <c r="AE4" s="700"/>
      <c r="AF4" s="700"/>
      <c r="AG4" s="700"/>
      <c r="AH4" s="700"/>
      <c r="AI4" s="700"/>
      <c r="AJ4" s="700"/>
      <c r="AK4" s="700"/>
      <c r="AL4" s="700"/>
      <c r="AM4" s="700"/>
      <c r="AN4" s="700"/>
      <c r="AO4" s="700"/>
      <c r="AP4" s="700"/>
      <c r="AQ4" s="700"/>
      <c r="AR4" s="700"/>
      <c r="AS4" s="700"/>
      <c r="AT4" s="700"/>
      <c r="AU4" s="700"/>
      <c r="AV4" s="700"/>
      <c r="AW4" s="700"/>
      <c r="AX4" s="700"/>
      <c r="AY4" s="700"/>
      <c r="AZ4" s="700"/>
      <c r="BA4" s="700"/>
      <c r="BB4" s="700"/>
      <c r="BC4" s="700"/>
      <c r="BD4" s="700"/>
      <c r="BE4" s="700"/>
      <c r="BF4" s="700"/>
      <c r="BG4" s="700"/>
      <c r="BH4" s="700"/>
      <c r="BI4" s="700"/>
      <c r="BJ4" s="28"/>
      <c r="BK4" s="28"/>
      <c r="BL4" s="28"/>
      <c r="BM4" s="254"/>
      <c r="BN4" s="256"/>
      <c r="BO4" s="255"/>
      <c r="BV4" s="30"/>
      <c r="BW4" s="39"/>
      <c r="BX4" s="39"/>
      <c r="BY4" s="39"/>
      <c r="BZ4" s="39"/>
      <c r="CA4" s="30"/>
      <c r="CB4" s="30"/>
      <c r="CC4" s="246" t="s">
        <v>18</v>
      </c>
      <c r="CD4" s="288">
        <f>COUNTIF($BQ$13:$BQ$62,"APROBADO")</f>
        <v>0</v>
      </c>
      <c r="CF4" s="281" t="s">
        <v>24</v>
      </c>
      <c r="CG4" s="281" t="s">
        <v>20</v>
      </c>
      <c r="CH4" s="282" t="s">
        <v>24</v>
      </c>
      <c r="CI4" s="282" t="s">
        <v>20</v>
      </c>
      <c r="CJ4" s="283" t="s">
        <v>24</v>
      </c>
      <c r="CK4" s="283" t="s">
        <v>20</v>
      </c>
      <c r="CL4" s="284" t="s">
        <v>24</v>
      </c>
      <c r="CM4" s="284" t="s">
        <v>20</v>
      </c>
      <c r="CN4" s="285" t="s">
        <v>24</v>
      </c>
      <c r="CO4" s="285" t="s">
        <v>20</v>
      </c>
    </row>
    <row r="5" spans="1:294" ht="21.75" customHeight="1" thickBot="1">
      <c r="C5" s="243" t="str">
        <f>IF(FILIACIÓN!C4="","",FILIACIÓN!C4)</f>
        <v>GESTION 2025</v>
      </c>
      <c r="E5" s="684" t="s">
        <v>258</v>
      </c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  <c r="T5" s="685"/>
      <c r="U5" s="685"/>
      <c r="V5" s="685"/>
      <c r="W5" s="685"/>
      <c r="X5" s="685"/>
      <c r="Y5" s="685"/>
      <c r="Z5" s="685"/>
      <c r="AA5" s="685"/>
      <c r="AB5" s="685"/>
      <c r="AC5" s="685"/>
      <c r="AD5" s="685"/>
      <c r="AE5" s="685"/>
      <c r="AF5" s="685"/>
      <c r="AG5" s="685"/>
      <c r="AH5" s="685"/>
      <c r="AI5" s="685"/>
      <c r="AJ5" s="685"/>
      <c r="AK5" s="685"/>
      <c r="AL5" s="685"/>
      <c r="AM5" s="685"/>
      <c r="AN5" s="685"/>
      <c r="AO5" s="685"/>
      <c r="AP5" s="685"/>
      <c r="AQ5" s="685"/>
      <c r="AR5" s="685"/>
      <c r="AS5" s="685"/>
      <c r="AT5" s="685"/>
      <c r="AU5" s="685"/>
      <c r="AV5" s="685"/>
      <c r="AW5" s="685"/>
      <c r="AX5" s="685"/>
      <c r="AY5" s="685"/>
      <c r="AZ5" s="685"/>
      <c r="BA5" s="685"/>
      <c r="BB5" s="685"/>
      <c r="BC5" s="685"/>
      <c r="BD5" s="685"/>
      <c r="BE5" s="685"/>
      <c r="BF5" s="685"/>
      <c r="BG5" s="685"/>
      <c r="BH5" s="685"/>
      <c r="BI5" s="685"/>
      <c r="BJ5" s="685"/>
      <c r="BK5" s="686"/>
      <c r="BL5" s="34"/>
      <c r="BM5" s="723" t="s">
        <v>191</v>
      </c>
      <c r="BN5" s="724"/>
      <c r="BO5" s="724"/>
      <c r="BP5" s="710" t="s">
        <v>3</v>
      </c>
      <c r="BQ5" s="710" t="s">
        <v>17</v>
      </c>
      <c r="BR5" s="707" t="s">
        <v>312</v>
      </c>
      <c r="BS5" s="461"/>
      <c r="BT5" s="111"/>
      <c r="BU5" s="30"/>
      <c r="BV5" s="30"/>
      <c r="CC5" s="247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88" t="s">
        <v>290</v>
      </c>
      <c r="F6" s="689"/>
      <c r="G6" s="689"/>
      <c r="H6" s="689"/>
      <c r="I6" s="689"/>
      <c r="J6" s="689"/>
      <c r="K6" s="689"/>
      <c r="L6" s="689"/>
      <c r="M6" s="689"/>
      <c r="N6" s="689"/>
      <c r="O6" s="690"/>
      <c r="P6" s="14"/>
      <c r="Q6" s="688" t="s">
        <v>291</v>
      </c>
      <c r="R6" s="689"/>
      <c r="S6" s="689"/>
      <c r="T6" s="689"/>
      <c r="U6" s="689"/>
      <c r="V6" s="689"/>
      <c r="W6" s="689"/>
      <c r="X6" s="689"/>
      <c r="Y6" s="689"/>
      <c r="Z6" s="689"/>
      <c r="AA6" s="689"/>
      <c r="AB6" s="689"/>
      <c r="AC6" s="689"/>
      <c r="AD6" s="689"/>
      <c r="AE6" s="689"/>
      <c r="AF6" s="690"/>
      <c r="AG6" s="14"/>
      <c r="AH6" s="688" t="s">
        <v>292</v>
      </c>
      <c r="AI6" s="689"/>
      <c r="AJ6" s="689"/>
      <c r="AK6" s="689"/>
      <c r="AL6" s="689"/>
      <c r="AM6" s="689"/>
      <c r="AN6" s="689"/>
      <c r="AO6" s="689"/>
      <c r="AP6" s="689"/>
      <c r="AQ6" s="689"/>
      <c r="AR6" s="689"/>
      <c r="AS6" s="689"/>
      <c r="AT6" s="689"/>
      <c r="AU6" s="689"/>
      <c r="AV6" s="689"/>
      <c r="AW6" s="690"/>
      <c r="AX6" s="14"/>
      <c r="AY6" s="688" t="s">
        <v>293</v>
      </c>
      <c r="AZ6" s="689"/>
      <c r="BA6" s="689"/>
      <c r="BB6" s="689"/>
      <c r="BC6" s="689"/>
      <c r="BD6" s="689"/>
      <c r="BE6" s="689"/>
      <c r="BF6" s="689"/>
      <c r="BG6" s="689"/>
      <c r="BH6" s="689"/>
      <c r="BI6" s="690"/>
      <c r="BJ6" s="14"/>
      <c r="BK6" s="430">
        <v>5</v>
      </c>
      <c r="BL6" s="14"/>
      <c r="BM6" s="714" t="s">
        <v>240</v>
      </c>
      <c r="BN6" s="714" t="s">
        <v>241</v>
      </c>
      <c r="BO6" s="717" t="s">
        <v>180</v>
      </c>
      <c r="BP6" s="710"/>
      <c r="BQ6" s="710"/>
      <c r="BR6" s="708"/>
      <c r="BS6" s="461"/>
      <c r="BT6" s="111"/>
      <c r="BU6" s="30"/>
      <c r="BV6" s="30"/>
      <c r="BW6" s="82"/>
      <c r="BX6" s="82"/>
      <c r="BY6" s="82"/>
      <c r="BZ6" s="39"/>
      <c r="CB6" s="30"/>
      <c r="CC6" s="248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9"/>
      <c r="CX6" s="39"/>
      <c r="CY6" s="39"/>
      <c r="CZ6" s="39"/>
      <c r="DA6" s="39"/>
      <c r="DB6" s="39"/>
      <c r="DC6" s="39"/>
      <c r="DD6" s="39"/>
      <c r="DE6" s="39"/>
      <c r="DF6" s="39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673" t="s">
        <v>21</v>
      </c>
      <c r="F7" s="681"/>
      <c r="G7" s="681"/>
      <c r="H7" s="681"/>
      <c r="I7" s="681"/>
      <c r="J7" s="681"/>
      <c r="K7" s="681"/>
      <c r="L7" s="681"/>
      <c r="M7" s="670"/>
      <c r="N7" s="667"/>
      <c r="O7" s="676" t="s">
        <v>186</v>
      </c>
      <c r="Q7" s="678"/>
      <c r="R7" s="670"/>
      <c r="S7" s="670"/>
      <c r="T7" s="670"/>
      <c r="U7" s="670"/>
      <c r="V7" s="670"/>
      <c r="W7" s="670"/>
      <c r="X7" s="670"/>
      <c r="Y7" s="670"/>
      <c r="Z7" s="670"/>
      <c r="AA7" s="670"/>
      <c r="AB7" s="670"/>
      <c r="AC7" s="670"/>
      <c r="AD7" s="670"/>
      <c r="AE7" s="667"/>
      <c r="AF7" s="676" t="s">
        <v>186</v>
      </c>
      <c r="AH7" s="678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  <c r="AT7" s="670"/>
      <c r="AU7" s="670"/>
      <c r="AV7" s="720"/>
      <c r="AW7" s="676" t="s">
        <v>186</v>
      </c>
      <c r="AY7" s="725"/>
      <c r="AZ7" s="681"/>
      <c r="BA7" s="681"/>
      <c r="BB7" s="681"/>
      <c r="BC7" s="681"/>
      <c r="BD7" s="681"/>
      <c r="BE7" s="681"/>
      <c r="BF7" s="681"/>
      <c r="BG7" s="670"/>
      <c r="BH7" s="670"/>
      <c r="BI7" s="676" t="s">
        <v>186</v>
      </c>
      <c r="BK7" s="703" t="s">
        <v>294</v>
      </c>
      <c r="BM7" s="715"/>
      <c r="BN7" s="715"/>
      <c r="BO7" s="718"/>
      <c r="BP7" s="710"/>
      <c r="BQ7" s="710"/>
      <c r="BR7" s="708"/>
      <c r="BS7" s="461"/>
      <c r="BT7" s="111"/>
      <c r="BU7" s="30"/>
      <c r="BV7" s="30"/>
      <c r="BY7" s="82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674"/>
      <c r="F8" s="682"/>
      <c r="G8" s="682"/>
      <c r="H8" s="682"/>
      <c r="I8" s="682"/>
      <c r="J8" s="682"/>
      <c r="K8" s="682"/>
      <c r="L8" s="682"/>
      <c r="M8" s="671"/>
      <c r="N8" s="668"/>
      <c r="O8" s="676"/>
      <c r="Q8" s="679"/>
      <c r="R8" s="671"/>
      <c r="S8" s="671"/>
      <c r="T8" s="671"/>
      <c r="U8" s="671"/>
      <c r="V8" s="671"/>
      <c r="W8" s="671"/>
      <c r="X8" s="671"/>
      <c r="Y8" s="671"/>
      <c r="Z8" s="671"/>
      <c r="AA8" s="671"/>
      <c r="AB8" s="671"/>
      <c r="AC8" s="671"/>
      <c r="AD8" s="671"/>
      <c r="AE8" s="668"/>
      <c r="AF8" s="676"/>
      <c r="AH8" s="679"/>
      <c r="AI8" s="671"/>
      <c r="AJ8" s="671"/>
      <c r="AK8" s="671"/>
      <c r="AL8" s="671"/>
      <c r="AM8" s="671"/>
      <c r="AN8" s="671"/>
      <c r="AO8" s="671"/>
      <c r="AP8" s="671"/>
      <c r="AQ8" s="671"/>
      <c r="AR8" s="671"/>
      <c r="AS8" s="671"/>
      <c r="AT8" s="671"/>
      <c r="AU8" s="671"/>
      <c r="AV8" s="721"/>
      <c r="AW8" s="676"/>
      <c r="AY8" s="726"/>
      <c r="AZ8" s="682"/>
      <c r="BA8" s="682"/>
      <c r="BB8" s="682"/>
      <c r="BC8" s="682"/>
      <c r="BD8" s="682"/>
      <c r="BE8" s="682"/>
      <c r="BF8" s="682"/>
      <c r="BG8" s="671"/>
      <c r="BH8" s="671"/>
      <c r="BI8" s="676"/>
      <c r="BK8" s="704"/>
      <c r="BM8" s="715"/>
      <c r="BN8" s="715"/>
      <c r="BO8" s="718"/>
      <c r="BP8" s="710"/>
      <c r="BQ8" s="710"/>
      <c r="BR8" s="708"/>
      <c r="BS8" s="461"/>
      <c r="BT8" s="111"/>
      <c r="BU8" s="30"/>
      <c r="BV8" s="30"/>
      <c r="BY8" s="82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674"/>
      <c r="F9" s="682"/>
      <c r="G9" s="682"/>
      <c r="H9" s="682"/>
      <c r="I9" s="682"/>
      <c r="J9" s="682"/>
      <c r="K9" s="682"/>
      <c r="L9" s="682"/>
      <c r="M9" s="671"/>
      <c r="N9" s="668"/>
      <c r="O9" s="676"/>
      <c r="Q9" s="679"/>
      <c r="R9" s="671"/>
      <c r="S9" s="671"/>
      <c r="T9" s="671"/>
      <c r="U9" s="671"/>
      <c r="V9" s="671"/>
      <c r="W9" s="671"/>
      <c r="X9" s="671"/>
      <c r="Y9" s="671"/>
      <c r="Z9" s="671"/>
      <c r="AA9" s="671"/>
      <c r="AB9" s="671"/>
      <c r="AC9" s="671"/>
      <c r="AD9" s="671"/>
      <c r="AE9" s="668"/>
      <c r="AF9" s="676"/>
      <c r="AH9" s="679"/>
      <c r="AI9" s="671"/>
      <c r="AJ9" s="671"/>
      <c r="AK9" s="671"/>
      <c r="AL9" s="671"/>
      <c r="AM9" s="671"/>
      <c r="AN9" s="671"/>
      <c r="AO9" s="671"/>
      <c r="AP9" s="671"/>
      <c r="AQ9" s="671"/>
      <c r="AR9" s="671"/>
      <c r="AS9" s="671"/>
      <c r="AT9" s="671"/>
      <c r="AU9" s="671"/>
      <c r="AV9" s="721"/>
      <c r="AW9" s="676"/>
      <c r="AY9" s="726"/>
      <c r="AZ9" s="682"/>
      <c r="BA9" s="682"/>
      <c r="BB9" s="682"/>
      <c r="BC9" s="682"/>
      <c r="BD9" s="682"/>
      <c r="BE9" s="682"/>
      <c r="BF9" s="682"/>
      <c r="BG9" s="671"/>
      <c r="BH9" s="671"/>
      <c r="BI9" s="676"/>
      <c r="BK9" s="704"/>
      <c r="BM9" s="715"/>
      <c r="BN9" s="715"/>
      <c r="BO9" s="718"/>
      <c r="BP9" s="710"/>
      <c r="BQ9" s="710"/>
      <c r="BR9" s="708"/>
      <c r="BS9" s="461"/>
      <c r="BT9" s="111"/>
      <c r="BU9" s="30"/>
      <c r="BV9" s="30"/>
      <c r="BW9" s="701"/>
      <c r="BX9" s="701"/>
      <c r="BY9" s="82"/>
      <c r="CA9" s="111"/>
    </row>
    <row r="10" spans="1:294" ht="45.75" customHeight="1">
      <c r="E10" s="674"/>
      <c r="F10" s="682"/>
      <c r="G10" s="682"/>
      <c r="H10" s="682"/>
      <c r="I10" s="682"/>
      <c r="J10" s="682"/>
      <c r="K10" s="682"/>
      <c r="L10" s="682"/>
      <c r="M10" s="671"/>
      <c r="N10" s="668"/>
      <c r="O10" s="676"/>
      <c r="Q10" s="679"/>
      <c r="R10" s="671"/>
      <c r="S10" s="671"/>
      <c r="T10" s="671"/>
      <c r="U10" s="671"/>
      <c r="V10" s="671"/>
      <c r="W10" s="671"/>
      <c r="X10" s="671"/>
      <c r="Y10" s="671"/>
      <c r="Z10" s="671"/>
      <c r="AA10" s="671"/>
      <c r="AB10" s="671"/>
      <c r="AC10" s="671"/>
      <c r="AD10" s="671"/>
      <c r="AE10" s="668"/>
      <c r="AF10" s="676"/>
      <c r="AH10" s="679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721"/>
      <c r="AW10" s="676"/>
      <c r="AY10" s="726"/>
      <c r="AZ10" s="682"/>
      <c r="BA10" s="682"/>
      <c r="BB10" s="682"/>
      <c r="BC10" s="682"/>
      <c r="BD10" s="682"/>
      <c r="BE10" s="682"/>
      <c r="BF10" s="682"/>
      <c r="BG10" s="671"/>
      <c r="BH10" s="671"/>
      <c r="BI10" s="676"/>
      <c r="BK10" s="704"/>
      <c r="BM10" s="715"/>
      <c r="BN10" s="715"/>
      <c r="BO10" s="718"/>
      <c r="BP10" s="710"/>
      <c r="BQ10" s="710"/>
      <c r="BR10" s="708"/>
      <c r="BS10" s="467"/>
      <c r="BT10" s="711" t="s">
        <v>285</v>
      </c>
      <c r="BU10" s="712"/>
      <c r="BV10" s="713"/>
      <c r="BW10" s="701"/>
      <c r="BX10" s="701"/>
      <c r="BY10" s="82"/>
      <c r="CA10" s="706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674"/>
      <c r="F11" s="682"/>
      <c r="G11" s="682"/>
      <c r="H11" s="682"/>
      <c r="I11" s="682"/>
      <c r="J11" s="682"/>
      <c r="K11" s="682"/>
      <c r="L11" s="682"/>
      <c r="M11" s="671"/>
      <c r="N11" s="668"/>
      <c r="O11" s="676"/>
      <c r="Q11" s="679"/>
      <c r="R11" s="671"/>
      <c r="S11" s="671"/>
      <c r="T11" s="671"/>
      <c r="U11" s="671"/>
      <c r="V11" s="671"/>
      <c r="W11" s="671"/>
      <c r="X11" s="671"/>
      <c r="Y11" s="671"/>
      <c r="Z11" s="671"/>
      <c r="AA11" s="671"/>
      <c r="AB11" s="671"/>
      <c r="AC11" s="671"/>
      <c r="AD11" s="671"/>
      <c r="AE11" s="668"/>
      <c r="AF11" s="676"/>
      <c r="AH11" s="679"/>
      <c r="AI11" s="671"/>
      <c r="AJ11" s="671"/>
      <c r="AK11" s="671"/>
      <c r="AL11" s="671"/>
      <c r="AM11" s="671"/>
      <c r="AN11" s="671"/>
      <c r="AO11" s="671"/>
      <c r="AP11" s="671"/>
      <c r="AQ11" s="671"/>
      <c r="AR11" s="671"/>
      <c r="AS11" s="671"/>
      <c r="AT11" s="671"/>
      <c r="AU11" s="671"/>
      <c r="AV11" s="721"/>
      <c r="AW11" s="676"/>
      <c r="AY11" s="726"/>
      <c r="AZ11" s="682"/>
      <c r="BA11" s="682"/>
      <c r="BB11" s="682"/>
      <c r="BC11" s="682"/>
      <c r="BD11" s="682"/>
      <c r="BE11" s="682"/>
      <c r="BF11" s="682"/>
      <c r="BG11" s="671"/>
      <c r="BH11" s="671"/>
      <c r="BI11" s="676"/>
      <c r="BK11" s="704"/>
      <c r="BM11" s="715"/>
      <c r="BN11" s="715"/>
      <c r="BO11" s="718"/>
      <c r="BP11" s="710"/>
      <c r="BQ11" s="710"/>
      <c r="BR11" s="708"/>
      <c r="BS11" s="467"/>
      <c r="BT11" s="710"/>
      <c r="BU11" s="702"/>
      <c r="BV11" s="702"/>
      <c r="BW11" s="701"/>
      <c r="BX11" s="701"/>
      <c r="BY11" s="82"/>
      <c r="CA11" s="706"/>
    </row>
    <row r="12" spans="1:294" ht="31.5" customHeight="1" thickBot="1">
      <c r="A12" s="116" t="s">
        <v>0</v>
      </c>
      <c r="B12" s="664" t="s">
        <v>200</v>
      </c>
      <c r="C12" s="665"/>
      <c r="D12" s="666"/>
      <c r="E12" s="675"/>
      <c r="F12" s="683"/>
      <c r="G12" s="683"/>
      <c r="H12" s="683"/>
      <c r="I12" s="683"/>
      <c r="J12" s="683"/>
      <c r="K12" s="683"/>
      <c r="L12" s="683"/>
      <c r="M12" s="672"/>
      <c r="N12" s="669"/>
      <c r="O12" s="677"/>
      <c r="P12" s="115"/>
      <c r="Q12" s="680"/>
      <c r="R12" s="672"/>
      <c r="S12" s="672"/>
      <c r="T12" s="672"/>
      <c r="U12" s="672"/>
      <c r="V12" s="672"/>
      <c r="W12" s="672"/>
      <c r="X12" s="672"/>
      <c r="Y12" s="672"/>
      <c r="Z12" s="672"/>
      <c r="AA12" s="672"/>
      <c r="AB12" s="672"/>
      <c r="AC12" s="672"/>
      <c r="AD12" s="672"/>
      <c r="AE12" s="669"/>
      <c r="AF12" s="677"/>
      <c r="AG12" s="45"/>
      <c r="AH12" s="680"/>
      <c r="AI12" s="672"/>
      <c r="AJ12" s="672"/>
      <c r="AK12" s="672"/>
      <c r="AL12" s="672"/>
      <c r="AM12" s="672"/>
      <c r="AN12" s="672"/>
      <c r="AO12" s="672"/>
      <c r="AP12" s="672"/>
      <c r="AQ12" s="672"/>
      <c r="AR12" s="672"/>
      <c r="AS12" s="672"/>
      <c r="AT12" s="672"/>
      <c r="AU12" s="672"/>
      <c r="AV12" s="722"/>
      <c r="AW12" s="677"/>
      <c r="AY12" s="727"/>
      <c r="AZ12" s="683"/>
      <c r="BA12" s="683"/>
      <c r="BB12" s="683"/>
      <c r="BC12" s="683"/>
      <c r="BD12" s="683"/>
      <c r="BE12" s="683"/>
      <c r="BF12" s="683"/>
      <c r="BG12" s="672"/>
      <c r="BH12" s="672"/>
      <c r="BI12" s="677"/>
      <c r="BK12" s="705"/>
      <c r="BM12" s="716"/>
      <c r="BN12" s="716"/>
      <c r="BO12" s="719"/>
      <c r="BP12" s="710"/>
      <c r="BQ12" s="710"/>
      <c r="BR12" s="709"/>
      <c r="BS12" s="467"/>
      <c r="BT12" s="710"/>
      <c r="BU12" s="702"/>
      <c r="BV12" s="702"/>
      <c r="BW12" s="701"/>
      <c r="BX12" s="701"/>
      <c r="BY12" s="82"/>
      <c r="CA12" s="706"/>
      <c r="CB12" s="26" t="s">
        <v>255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661" t="str">
        <f>IF(FILIACIÓN!B11="","",UPPER(FILIACIÓN!B11))</f>
        <v/>
      </c>
      <c r="C13" s="662"/>
      <c r="D13" s="663"/>
      <c r="E13" s="464" t="str">
        <f>'ASISTENCIA 1'!CD14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5"/>
      <c r="BU13" s="425"/>
      <c r="BV13" s="425"/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655" t="str">
        <f>IF(FILIACIÓN!B12="","",UPPER(FILIACIÓN!B12))</f>
        <v/>
      </c>
      <c r="C14" s="656"/>
      <c r="D14" s="657"/>
      <c r="E14" s="465" t="str">
        <f>'ASISTENCIA 1'!CD15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/>
      <c r="BU14" s="425"/>
      <c r="BV14" s="425"/>
      <c r="BW14" s="82"/>
      <c r="BX14" s="82"/>
      <c r="BY14" s="82"/>
      <c r="BZ14" s="39"/>
      <c r="CA14" s="531" t="str">
        <f t="shared" ref="CA14:CA61" si="9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655" t="str">
        <f>IF(FILIACIÓN!B13="","",UPPER(FILIACIÓN!B13))</f>
        <v/>
      </c>
      <c r="C15" s="656"/>
      <c r="D15" s="657"/>
      <c r="E15" s="465" t="str">
        <f>'ASISTENCIA 1'!CD16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/>
      <c r="BU15" s="425"/>
      <c r="BV15" s="425"/>
      <c r="BW15" s="82"/>
      <c r="BX15" s="82"/>
      <c r="BY15" s="82"/>
      <c r="BZ15" s="39"/>
      <c r="CA15" s="531" t="str">
        <f t="shared" si="9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655" t="str">
        <f>IF(FILIACIÓN!B14="","",UPPER(FILIACIÓN!B14))</f>
        <v/>
      </c>
      <c r="C16" s="656"/>
      <c r="D16" s="657"/>
      <c r="E16" s="465" t="str">
        <f>'ASISTENCIA 1'!CD17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/>
      <c r="BU16" s="425"/>
      <c r="BV16" s="425"/>
      <c r="BW16" s="82"/>
      <c r="BX16" s="82"/>
      <c r="BY16" s="82"/>
      <c r="BZ16" s="39"/>
      <c r="CA16" s="531" t="str">
        <f t="shared" si="9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655" t="str">
        <f>IF(FILIACIÓN!B15="","",UPPER(FILIACIÓN!B15))</f>
        <v/>
      </c>
      <c r="C17" s="656"/>
      <c r="D17" s="657"/>
      <c r="E17" s="465" t="str">
        <f>'ASISTENCIA 1'!CD18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/>
      <c r="BU17" s="425"/>
      <c r="BV17" s="425"/>
      <c r="BW17" s="82"/>
      <c r="BX17" s="82"/>
      <c r="BY17" s="82"/>
      <c r="BZ17" s="39"/>
      <c r="CA17" s="531" t="str">
        <f t="shared" si="9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655" t="str">
        <f>IF(FILIACIÓN!B16="","",UPPER(FILIACIÓN!B16))</f>
        <v/>
      </c>
      <c r="C18" s="656"/>
      <c r="D18" s="657"/>
      <c r="E18" s="465" t="str">
        <f>'ASISTENCIA 1'!CD19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/>
      <c r="BU18" s="425"/>
      <c r="BV18" s="425"/>
      <c r="BW18" s="82"/>
      <c r="BX18" s="82"/>
      <c r="BY18" s="82"/>
      <c r="BZ18" s="39"/>
      <c r="CA18" s="531" t="str">
        <f t="shared" si="9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655" t="str">
        <f>IF(FILIACIÓN!B17="","",UPPER(FILIACIÓN!B17))</f>
        <v/>
      </c>
      <c r="C19" s="656"/>
      <c r="D19" s="657"/>
      <c r="E19" s="465" t="str">
        <f>'ASISTENCIA 1'!CD20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/>
      <c r="BU19" s="425"/>
      <c r="BV19" s="425"/>
      <c r="BW19" s="82"/>
      <c r="BX19" s="82"/>
      <c r="BY19" s="82"/>
      <c r="BZ19" s="39"/>
      <c r="CA19" s="531" t="str">
        <f t="shared" si="9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655" t="str">
        <f>IF(FILIACIÓN!B18="","",UPPER(FILIACIÓN!B18))</f>
        <v/>
      </c>
      <c r="C20" s="656"/>
      <c r="D20" s="657"/>
      <c r="E20" s="465" t="str">
        <f>'ASISTENCIA 1'!CD21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/>
      <c r="BU20" s="425"/>
      <c r="BV20" s="425"/>
      <c r="BW20" s="82"/>
      <c r="BX20" s="82"/>
      <c r="BY20" s="82"/>
      <c r="BZ20" s="39"/>
      <c r="CA20" s="531" t="str">
        <f t="shared" si="9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655" t="str">
        <f>IF(FILIACIÓN!B19="","",UPPER(FILIACIÓN!B19))</f>
        <v/>
      </c>
      <c r="C21" s="656"/>
      <c r="D21" s="657"/>
      <c r="E21" s="465" t="str">
        <f>'ASISTENCIA 1'!CD22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/>
      <c r="BU21" s="425"/>
      <c r="BV21" s="425"/>
      <c r="BW21" s="82"/>
      <c r="BX21" s="82"/>
      <c r="BY21" s="82"/>
      <c r="BZ21" s="39"/>
      <c r="CA21" s="531" t="str">
        <f t="shared" si="9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655" t="str">
        <f>IF(FILIACIÓN!B20="","",UPPER(FILIACIÓN!B20))</f>
        <v/>
      </c>
      <c r="C22" s="656"/>
      <c r="D22" s="657"/>
      <c r="E22" s="465" t="str">
        <f>'ASISTENCIA 1'!CD23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/>
      <c r="BU22" s="425"/>
      <c r="BV22" s="425"/>
      <c r="BW22" s="82"/>
      <c r="BX22" s="82"/>
      <c r="BY22" s="82"/>
      <c r="BZ22" s="39"/>
      <c r="CA22" s="531" t="str">
        <f t="shared" si="9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655" t="str">
        <f>IF(FILIACIÓN!B21="","",UPPER(FILIACIÓN!B21))</f>
        <v/>
      </c>
      <c r="C23" s="656"/>
      <c r="D23" s="657"/>
      <c r="E23" s="465" t="str">
        <f>'ASISTENCIA 1'!CD24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/>
      <c r="BU23" s="425"/>
      <c r="BV23" s="425"/>
      <c r="BW23" s="82"/>
      <c r="BX23" s="82"/>
      <c r="BY23" s="82"/>
      <c r="BZ23" s="39"/>
      <c r="CA23" s="531" t="str">
        <f t="shared" si="9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655" t="str">
        <f>IF(FILIACIÓN!B22="","",UPPER(FILIACIÓN!B22))</f>
        <v/>
      </c>
      <c r="C24" s="656"/>
      <c r="D24" s="657"/>
      <c r="E24" s="465" t="str">
        <f>'ASISTENCIA 1'!CD25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/>
      <c r="BU24" s="425"/>
      <c r="BV24" s="425"/>
      <c r="BW24" s="82"/>
      <c r="BX24" s="82"/>
      <c r="BY24" s="82"/>
      <c r="BZ24" s="39"/>
      <c r="CA24" s="531" t="str">
        <f t="shared" si="9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655" t="str">
        <f>IF(FILIACIÓN!B23="","",UPPER(FILIACIÓN!B23))</f>
        <v/>
      </c>
      <c r="C25" s="656"/>
      <c r="D25" s="657"/>
      <c r="E25" s="465" t="str">
        <f>'ASISTENCIA 1'!CD26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/>
      <c r="BU25" s="425"/>
      <c r="BV25" s="425"/>
      <c r="BW25" s="82"/>
      <c r="BX25" s="82"/>
      <c r="BY25" s="82"/>
      <c r="BZ25" s="39"/>
      <c r="CA25" s="531" t="str">
        <f t="shared" si="9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655" t="str">
        <f>IF(FILIACIÓN!B24="","",UPPER(FILIACIÓN!B24))</f>
        <v/>
      </c>
      <c r="C26" s="656"/>
      <c r="D26" s="657"/>
      <c r="E26" s="465" t="str">
        <f>'ASISTENCIA 1'!CD27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/>
      <c r="BU26" s="425"/>
      <c r="BV26" s="425"/>
      <c r="BW26" s="82"/>
      <c r="BX26" s="82"/>
      <c r="BY26" s="82"/>
      <c r="BZ26" s="39"/>
      <c r="CA26" s="531" t="str">
        <f t="shared" si="9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655" t="str">
        <f>IF(FILIACIÓN!B25="","",UPPER(FILIACIÓN!B25))</f>
        <v/>
      </c>
      <c r="C27" s="656"/>
      <c r="D27" s="657"/>
      <c r="E27" s="465" t="str">
        <f>'ASISTENCIA 1'!CD28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/>
      <c r="BU27" s="425"/>
      <c r="BV27" s="425"/>
      <c r="BW27" s="82"/>
      <c r="BX27" s="82"/>
      <c r="BY27" s="82"/>
      <c r="BZ27" s="39"/>
      <c r="CA27" s="531" t="str">
        <f t="shared" si="9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655" t="str">
        <f>IF(FILIACIÓN!B26="","",UPPER(FILIACIÓN!B26))</f>
        <v/>
      </c>
      <c r="C28" s="656"/>
      <c r="D28" s="657"/>
      <c r="E28" s="465" t="str">
        <f>'ASISTENCIA 1'!CD29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/>
      <c r="BU28" s="425"/>
      <c r="BV28" s="425"/>
      <c r="BW28" s="82"/>
      <c r="BX28" s="82"/>
      <c r="BY28" s="82"/>
      <c r="BZ28" s="39"/>
      <c r="CA28" s="531" t="str">
        <f t="shared" si="9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655" t="str">
        <f>IF(FILIACIÓN!B27="","",UPPER(FILIACIÓN!B27))</f>
        <v/>
      </c>
      <c r="C29" s="656"/>
      <c r="D29" s="657"/>
      <c r="E29" s="465" t="str">
        <f>'ASISTENCIA 1'!CD30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/>
      <c r="BU29" s="425"/>
      <c r="BV29" s="425"/>
      <c r="BW29" s="82"/>
      <c r="BX29" s="82"/>
      <c r="BY29" s="82"/>
      <c r="BZ29" s="39"/>
      <c r="CA29" s="531" t="str">
        <f t="shared" si="9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655" t="str">
        <f>IF(FILIACIÓN!B28="","",UPPER(FILIACIÓN!B28))</f>
        <v/>
      </c>
      <c r="C30" s="656"/>
      <c r="D30" s="657"/>
      <c r="E30" s="465" t="str">
        <f>'ASISTENCIA 1'!CD31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/>
      <c r="BU30" s="425"/>
      <c r="BV30" s="425"/>
      <c r="BW30" s="82"/>
      <c r="BX30" s="82"/>
      <c r="BY30" s="82"/>
      <c r="BZ30" s="39"/>
      <c r="CA30" s="531" t="str">
        <f t="shared" si="9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655" t="str">
        <f>IF(FILIACIÓN!B29="","",UPPER(FILIACIÓN!B29))</f>
        <v/>
      </c>
      <c r="C31" s="656"/>
      <c r="D31" s="657"/>
      <c r="E31" s="465" t="str">
        <f>'ASISTENCIA 1'!CD32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/>
      <c r="BU31" s="425"/>
      <c r="BV31" s="425"/>
      <c r="BW31" s="82"/>
      <c r="BX31" s="82"/>
      <c r="BY31" s="82"/>
      <c r="BZ31" s="39"/>
      <c r="CA31" s="531" t="str">
        <f t="shared" si="9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655" t="str">
        <f>IF(FILIACIÓN!B30="","",UPPER(FILIACIÓN!B30))</f>
        <v/>
      </c>
      <c r="C32" s="656"/>
      <c r="D32" s="657"/>
      <c r="E32" s="465" t="str">
        <f>'ASISTENCIA 1'!CD33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/>
      <c r="BU32" s="425"/>
      <c r="BV32" s="425"/>
      <c r="BW32" s="82"/>
      <c r="BX32" s="82"/>
      <c r="BY32" s="82"/>
      <c r="BZ32" s="39"/>
      <c r="CA32" s="531" t="str">
        <f t="shared" si="9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655" t="str">
        <f>IF(FILIACIÓN!B31="","",UPPER(FILIACIÓN!B31))</f>
        <v/>
      </c>
      <c r="C33" s="656"/>
      <c r="D33" s="657"/>
      <c r="E33" s="465" t="str">
        <f>'ASISTENCIA 1'!CD34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/>
      <c r="BU33" s="425"/>
      <c r="BV33" s="425"/>
      <c r="BW33" s="82"/>
      <c r="BX33" s="82"/>
      <c r="BY33" s="82"/>
      <c r="BZ33" s="39"/>
      <c r="CA33" s="531" t="str">
        <f t="shared" si="9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655" t="str">
        <f>IF(FILIACIÓN!B32="","",UPPER(FILIACIÓN!B32))</f>
        <v/>
      </c>
      <c r="C34" s="656"/>
      <c r="D34" s="657"/>
      <c r="E34" s="465" t="str">
        <f>'ASISTENCIA 1'!CD35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/>
      <c r="BU34" s="425"/>
      <c r="BV34" s="425"/>
      <c r="BW34" s="82"/>
      <c r="BX34" s="82"/>
      <c r="BY34" s="82"/>
      <c r="BZ34" s="39"/>
      <c r="CA34" s="531" t="str">
        <f t="shared" si="9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655" t="str">
        <f>IF(FILIACIÓN!B33="","",UPPER(FILIACIÓN!B33))</f>
        <v/>
      </c>
      <c r="C35" s="656"/>
      <c r="D35" s="657"/>
      <c r="E35" s="465" t="str">
        <f>'ASISTENCIA 1'!CD36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/>
      <c r="BU35" s="425"/>
      <c r="BV35" s="425"/>
      <c r="BW35" s="82"/>
      <c r="BX35" s="82"/>
      <c r="BY35" s="82"/>
      <c r="BZ35" s="39"/>
      <c r="CA35" s="531" t="str">
        <f t="shared" si="9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655" t="str">
        <f>IF(FILIACIÓN!B34="","",UPPER(FILIACIÓN!B34))</f>
        <v/>
      </c>
      <c r="C36" s="656"/>
      <c r="D36" s="657"/>
      <c r="E36" s="465" t="str">
        <f>'ASISTENCIA 1'!CD37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/>
      <c r="BU36" s="425"/>
      <c r="BV36" s="425"/>
      <c r="BW36" s="82"/>
      <c r="BX36" s="82"/>
      <c r="BY36" s="82"/>
      <c r="BZ36" s="39"/>
      <c r="CA36" s="531" t="str">
        <f t="shared" si="9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655" t="str">
        <f>IF(FILIACIÓN!B35="","",UPPER(FILIACIÓN!B35))</f>
        <v/>
      </c>
      <c r="C37" s="656"/>
      <c r="D37" s="657"/>
      <c r="E37" s="465" t="str">
        <f>'ASISTENCIA 1'!CD38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/>
      <c r="BU37" s="425"/>
      <c r="BV37" s="425"/>
      <c r="BW37" s="82"/>
      <c r="BX37" s="82"/>
      <c r="BY37" s="82"/>
      <c r="BZ37" s="39"/>
      <c r="CA37" s="531" t="str">
        <f t="shared" si="9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655" t="str">
        <f>IF(FILIACIÓN!B36="","",UPPER(FILIACIÓN!B36))</f>
        <v/>
      </c>
      <c r="C38" s="656"/>
      <c r="D38" s="657"/>
      <c r="E38" s="465" t="str">
        <f>'ASISTENCIA 1'!CD39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/>
      <c r="BU38" s="425"/>
      <c r="BV38" s="425"/>
      <c r="BW38" s="82"/>
      <c r="BX38" s="82"/>
      <c r="BY38" s="82"/>
      <c r="BZ38" s="39"/>
      <c r="CA38" s="531" t="str">
        <f t="shared" si="9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655" t="str">
        <f>IF(FILIACIÓN!B37="","",UPPER(FILIACIÓN!B37))</f>
        <v/>
      </c>
      <c r="C39" s="656"/>
      <c r="D39" s="657"/>
      <c r="E39" s="465" t="str">
        <f>'ASISTENCIA 1'!CD40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/>
      <c r="BU39" s="425"/>
      <c r="BV39" s="425"/>
      <c r="BW39" s="82"/>
      <c r="BX39" s="82"/>
      <c r="BY39" s="82"/>
      <c r="BZ39" s="39"/>
      <c r="CA39" s="531" t="str">
        <f t="shared" si="9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655" t="str">
        <f>IF(FILIACIÓN!B38="","",UPPER(FILIACIÓN!B38))</f>
        <v/>
      </c>
      <c r="C40" s="656"/>
      <c r="D40" s="657"/>
      <c r="E40" s="465" t="str">
        <f>'ASISTENCIA 1'!CD41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/>
      <c r="BU40" s="425"/>
      <c r="BV40" s="425"/>
      <c r="BW40" s="82"/>
      <c r="BX40" s="82"/>
      <c r="BY40" s="82"/>
      <c r="BZ40" s="39"/>
      <c r="CA40" s="531" t="str">
        <f t="shared" si="9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655" t="str">
        <f>IF(FILIACIÓN!B39="","",UPPER(FILIACIÓN!B39))</f>
        <v/>
      </c>
      <c r="C41" s="656"/>
      <c r="D41" s="657"/>
      <c r="E41" s="465" t="str">
        <f>'ASISTENCIA 1'!CD42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/>
      <c r="BU41" s="425"/>
      <c r="BV41" s="425"/>
      <c r="BW41" s="82"/>
      <c r="BX41" s="82"/>
      <c r="BY41" s="82"/>
      <c r="BZ41" s="39"/>
      <c r="CA41" s="531" t="str">
        <f t="shared" si="9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655" t="str">
        <f>IF(FILIACIÓN!B40="","",UPPER(FILIACIÓN!B40))</f>
        <v/>
      </c>
      <c r="C42" s="656"/>
      <c r="D42" s="657"/>
      <c r="E42" s="465" t="str">
        <f>'ASISTENCIA 1'!CD43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/>
      <c r="BU42" s="425"/>
      <c r="BV42" s="425"/>
      <c r="BW42" s="82"/>
      <c r="BX42" s="82"/>
      <c r="BY42" s="82"/>
      <c r="BZ42" s="39"/>
      <c r="CA42" s="531" t="str">
        <f t="shared" si="9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655" t="str">
        <f>IF(FILIACIÓN!B41="","",UPPER(FILIACIÓN!B41))</f>
        <v/>
      </c>
      <c r="C43" s="656"/>
      <c r="D43" s="657"/>
      <c r="E43" s="465" t="str">
        <f>'ASISTENCIA 1'!CD44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/>
      <c r="BU43" s="425"/>
      <c r="BV43" s="425"/>
      <c r="BW43" s="82"/>
      <c r="BX43" s="82"/>
      <c r="BY43" s="82"/>
      <c r="BZ43" s="39"/>
      <c r="CA43" s="531" t="str">
        <f t="shared" si="9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655" t="str">
        <f>IF(FILIACIÓN!B42="","",UPPER(FILIACIÓN!B42))</f>
        <v/>
      </c>
      <c r="C44" s="656"/>
      <c r="D44" s="657"/>
      <c r="E44" s="465" t="str">
        <f>'ASISTENCIA 1'!CD45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/>
      <c r="BU44" s="425"/>
      <c r="BV44" s="425"/>
      <c r="BW44" s="82"/>
      <c r="BX44" s="82"/>
      <c r="BY44" s="82"/>
      <c r="BZ44" s="39"/>
      <c r="CA44" s="531" t="str">
        <f t="shared" si="9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655" t="str">
        <f>IF(FILIACIÓN!B43="","",UPPER(FILIACIÓN!B43))</f>
        <v/>
      </c>
      <c r="C45" s="656"/>
      <c r="D45" s="657"/>
      <c r="E45" s="465" t="str">
        <f>'ASISTENCIA 1'!CD46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/>
      <c r="BU45" s="425"/>
      <c r="BV45" s="425"/>
      <c r="BW45" s="82"/>
      <c r="BX45" s="82"/>
      <c r="BY45" s="82"/>
      <c r="BZ45" s="39"/>
      <c r="CA45" s="531" t="str">
        <f t="shared" si="9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655" t="str">
        <f>IF(FILIACIÓN!B44="","",UPPER(FILIACIÓN!B44))</f>
        <v/>
      </c>
      <c r="C46" s="656"/>
      <c r="D46" s="657"/>
      <c r="E46" s="465" t="str">
        <f>'ASISTENCIA 1'!CD47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/>
      <c r="BU46" s="425"/>
      <c r="BV46" s="425"/>
      <c r="BW46" s="82"/>
      <c r="BX46" s="82"/>
      <c r="BY46" s="82"/>
      <c r="BZ46" s="39"/>
      <c r="CA46" s="531" t="str">
        <f t="shared" si="9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655" t="str">
        <f>IF(FILIACIÓN!B45="","",UPPER(FILIACIÓN!B45))</f>
        <v/>
      </c>
      <c r="C47" s="656"/>
      <c r="D47" s="657"/>
      <c r="E47" s="465" t="str">
        <f>'ASISTENCIA 1'!CD48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/>
      <c r="BU47" s="425"/>
      <c r="BV47" s="425"/>
      <c r="BW47" s="82"/>
      <c r="BX47" s="82"/>
      <c r="BY47" s="82"/>
      <c r="BZ47" s="39"/>
      <c r="CA47" s="531" t="str">
        <f t="shared" si="9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655" t="str">
        <f>IF(FILIACIÓN!B46="","",UPPER(FILIACIÓN!B46))</f>
        <v/>
      </c>
      <c r="C48" s="656"/>
      <c r="D48" s="657"/>
      <c r="E48" s="465" t="str">
        <f>'ASISTENCIA 1'!CD49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/>
      <c r="BU48" s="425"/>
      <c r="BV48" s="425"/>
      <c r="BW48" s="82"/>
      <c r="BX48" s="82"/>
      <c r="BY48" s="82"/>
      <c r="BZ48" s="39"/>
      <c r="CA48" s="531" t="str">
        <f t="shared" si="9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655" t="str">
        <f>IF(FILIACIÓN!B47="","",UPPER(FILIACIÓN!B47))</f>
        <v/>
      </c>
      <c r="C49" s="656"/>
      <c r="D49" s="657"/>
      <c r="E49" s="465" t="str">
        <f>'ASISTENCIA 1'!CD50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/>
      <c r="BU49" s="425"/>
      <c r="BV49" s="425"/>
      <c r="BW49" s="82"/>
      <c r="BX49" s="82"/>
      <c r="BY49" s="82"/>
      <c r="BZ49" s="39"/>
      <c r="CA49" s="531" t="str">
        <f t="shared" si="9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655" t="str">
        <f>IF(FILIACIÓN!B48="","",UPPER(FILIACIÓN!B48))</f>
        <v/>
      </c>
      <c r="C50" s="656"/>
      <c r="D50" s="657"/>
      <c r="E50" s="465" t="str">
        <f>'ASISTENCIA 1'!CD51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/>
      <c r="BU50" s="425"/>
      <c r="BV50" s="425"/>
      <c r="BW50" s="82"/>
      <c r="BX50" s="82"/>
      <c r="BY50" s="82"/>
      <c r="BZ50" s="39"/>
      <c r="CA50" s="531" t="str">
        <f t="shared" si="9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655" t="str">
        <f>IF(FILIACIÓN!B49="","",UPPER(FILIACIÓN!B49))</f>
        <v/>
      </c>
      <c r="C51" s="656"/>
      <c r="D51" s="657"/>
      <c r="E51" s="465" t="str">
        <f>'ASISTENCIA 1'!CD52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/>
      <c r="BU51" s="425"/>
      <c r="BV51" s="425"/>
      <c r="BW51" s="82"/>
      <c r="BX51" s="82"/>
      <c r="BY51" s="82"/>
      <c r="BZ51" s="39"/>
      <c r="CA51" s="531" t="str">
        <f t="shared" si="9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655" t="str">
        <f>IF(FILIACIÓN!B50="","",UPPER(FILIACIÓN!B50))</f>
        <v/>
      </c>
      <c r="C52" s="656"/>
      <c r="D52" s="657"/>
      <c r="E52" s="465" t="str">
        <f>'ASISTENCIA 1'!CD53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/>
      <c r="BU52" s="425"/>
      <c r="BV52" s="425"/>
      <c r="BW52" s="82"/>
      <c r="BX52" s="82"/>
      <c r="BY52" s="82"/>
      <c r="BZ52" s="39"/>
      <c r="CA52" s="531" t="str">
        <f t="shared" si="9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655" t="str">
        <f>IF(FILIACIÓN!B51="","",UPPER(FILIACIÓN!B51))</f>
        <v/>
      </c>
      <c r="C53" s="656"/>
      <c r="D53" s="657"/>
      <c r="E53" s="465" t="str">
        <f>'ASISTENCIA 1'!CD54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/>
      <c r="BU53" s="425"/>
      <c r="BV53" s="425"/>
      <c r="BW53" s="82"/>
      <c r="BX53" s="82"/>
      <c r="BY53" s="82"/>
      <c r="BZ53" s="39"/>
      <c r="CA53" s="531" t="str">
        <f t="shared" si="9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9"/>
      <c r="CX53" s="39"/>
      <c r="CY53" s="39"/>
      <c r="CZ53" s="39"/>
      <c r="DA53" s="39"/>
      <c r="DB53" s="39"/>
      <c r="DC53" s="39"/>
      <c r="DD53" s="39"/>
      <c r="DE53" s="39"/>
      <c r="DF53" s="39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655" t="str">
        <f>IF(FILIACIÓN!B52="","",UPPER(FILIACIÓN!B52))</f>
        <v/>
      </c>
      <c r="C54" s="656"/>
      <c r="D54" s="657"/>
      <c r="E54" s="465" t="str">
        <f>'ASISTENCIA 1'!CD55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/>
      <c r="BU54" s="425"/>
      <c r="BV54" s="425"/>
      <c r="BW54" s="82"/>
      <c r="BX54" s="82"/>
      <c r="BY54" s="82"/>
      <c r="BZ54" s="39"/>
      <c r="CA54" s="531" t="str">
        <f t="shared" si="9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9"/>
      <c r="CX54" s="39"/>
      <c r="CY54" s="39"/>
      <c r="CZ54" s="39"/>
      <c r="DA54" s="39"/>
      <c r="DB54" s="39"/>
      <c r="DC54" s="39"/>
      <c r="DD54" s="39"/>
      <c r="DE54" s="39"/>
      <c r="DF54" s="39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655" t="str">
        <f>IF(FILIACIÓN!B53="","",UPPER(FILIACIÓN!B53))</f>
        <v/>
      </c>
      <c r="C55" s="656"/>
      <c r="D55" s="657"/>
      <c r="E55" s="465" t="str">
        <f>'ASISTENCIA 1'!CD56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/>
      <c r="BU55" s="425"/>
      <c r="BV55" s="425"/>
      <c r="BW55" s="82"/>
      <c r="BX55" s="82"/>
      <c r="BY55" s="82"/>
      <c r="BZ55" s="39"/>
      <c r="CA55" s="531" t="str">
        <f t="shared" si="9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9"/>
      <c r="CX55" s="39"/>
      <c r="CY55" s="39"/>
      <c r="CZ55" s="39"/>
      <c r="DA55" s="39"/>
      <c r="DB55" s="39"/>
      <c r="DC55" s="39"/>
      <c r="DD55" s="39"/>
      <c r="DE55" s="39"/>
      <c r="DF55" s="39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655" t="str">
        <f>IF(FILIACIÓN!B54="","",UPPER(FILIACIÓN!B54))</f>
        <v/>
      </c>
      <c r="C56" s="656"/>
      <c r="D56" s="657"/>
      <c r="E56" s="465" t="str">
        <f>'ASISTENCIA 1'!CD57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0">IF(SUM(O56,AF56,AW56,BI56,BK56)=0,"",ROUND(SUM(O56,AF56,AW56,BI56,BK56),0))</f>
        <v/>
      </c>
      <c r="BN56" s="462" t="str">
        <f t="shared" ref="BN56:BN60" si="11">IF(SUM(O56,AF56,AW56,BI56,BK56)=0,"",SUM(O56,AF56,AW56,BI56,BK56))</f>
        <v/>
      </c>
      <c r="BO56" s="192" t="str">
        <f t="shared" ref="BO56:BO60" si="12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3">IF(OR(BM56="",BM56=0),"",IF(BM56&gt;=51,"APROBADO","REPROBADO"))</f>
        <v/>
      </c>
      <c r="BR56" s="460" t="str">
        <f t="shared" ref="BR56:BR60" si="14">IF(OR(BN56="",BN56=0),"",_xlfn.RANK.EQ(BN56,$BN$13:$BN$62))</f>
        <v/>
      </c>
      <c r="BS56" s="460"/>
      <c r="BT56" s="535"/>
      <c r="BU56" s="535"/>
      <c r="BV56" s="535"/>
      <c r="BW56" s="534"/>
      <c r="BX56" s="534"/>
      <c r="BY56" s="534"/>
      <c r="BZ56" s="39"/>
      <c r="CA56" s="531" t="str">
        <f t="shared" ref="CA56:CA60" si="15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9"/>
      <c r="CX56" s="39"/>
      <c r="CY56" s="39"/>
      <c r="CZ56" s="39"/>
      <c r="DA56" s="39"/>
      <c r="DB56" s="39"/>
      <c r="DC56" s="39"/>
      <c r="DD56" s="39"/>
      <c r="DE56" s="39"/>
      <c r="DF56" s="39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655" t="str">
        <f>IF(FILIACIÓN!B55="","",UPPER(FILIACIÓN!B55))</f>
        <v/>
      </c>
      <c r="C57" s="656"/>
      <c r="D57" s="657"/>
      <c r="E57" s="465" t="str">
        <f>'ASISTENCIA 1'!CD58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0"/>
        <v/>
      </c>
      <c r="BN57" s="462" t="str">
        <f t="shared" si="11"/>
        <v/>
      </c>
      <c r="BO57" s="192" t="str">
        <f t="shared" si="12"/>
        <v xml:space="preserve"> </v>
      </c>
      <c r="BP57" s="460" t="str">
        <f>FILIACIÓN!Y55</f>
        <v/>
      </c>
      <c r="BQ57" s="460" t="str">
        <f t="shared" si="13"/>
        <v/>
      </c>
      <c r="BR57" s="460" t="str">
        <f t="shared" si="14"/>
        <v/>
      </c>
      <c r="BS57" s="460"/>
      <c r="BT57" s="535"/>
      <c r="BU57" s="535"/>
      <c r="BV57" s="535"/>
      <c r="BW57" s="534"/>
      <c r="BX57" s="534"/>
      <c r="BY57" s="534"/>
      <c r="BZ57" s="39"/>
      <c r="CA57" s="531" t="str">
        <f t="shared" si="15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9"/>
      <c r="CX57" s="39"/>
      <c r="CY57" s="39"/>
      <c r="CZ57" s="39"/>
      <c r="DA57" s="39"/>
      <c r="DB57" s="39"/>
      <c r="DC57" s="39"/>
      <c r="DD57" s="39"/>
      <c r="DE57" s="39"/>
      <c r="DF57" s="39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655" t="str">
        <f>IF(FILIACIÓN!B56="","",UPPER(FILIACIÓN!B56))</f>
        <v/>
      </c>
      <c r="C58" s="656"/>
      <c r="D58" s="657"/>
      <c r="E58" s="465" t="str">
        <f>'ASISTENCIA 1'!CD59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0"/>
        <v/>
      </c>
      <c r="BN58" s="462" t="str">
        <f t="shared" si="11"/>
        <v/>
      </c>
      <c r="BO58" s="192" t="str">
        <f t="shared" si="12"/>
        <v xml:space="preserve"> </v>
      </c>
      <c r="BP58" s="460" t="str">
        <f>FILIACIÓN!Y56</f>
        <v/>
      </c>
      <c r="BQ58" s="460" t="str">
        <f t="shared" si="13"/>
        <v/>
      </c>
      <c r="BR58" s="460" t="str">
        <f t="shared" si="14"/>
        <v/>
      </c>
      <c r="BS58" s="460"/>
      <c r="BT58" s="535"/>
      <c r="BU58" s="535"/>
      <c r="BV58" s="535"/>
      <c r="BW58" s="534"/>
      <c r="BX58" s="534"/>
      <c r="BY58" s="534"/>
      <c r="BZ58" s="39"/>
      <c r="CA58" s="531" t="str">
        <f t="shared" si="15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9"/>
      <c r="CX58" s="39"/>
      <c r="CY58" s="39"/>
      <c r="CZ58" s="39"/>
      <c r="DA58" s="39"/>
      <c r="DB58" s="39"/>
      <c r="DC58" s="39"/>
      <c r="DD58" s="39"/>
      <c r="DE58" s="39"/>
      <c r="DF58" s="39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655" t="str">
        <f>IF(FILIACIÓN!B57="","",UPPER(FILIACIÓN!B57))</f>
        <v/>
      </c>
      <c r="C59" s="656"/>
      <c r="D59" s="657"/>
      <c r="E59" s="465" t="str">
        <f>'ASISTENCIA 1'!CD60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0"/>
        <v/>
      </c>
      <c r="BN59" s="462" t="str">
        <f t="shared" si="11"/>
        <v/>
      </c>
      <c r="BO59" s="192" t="str">
        <f t="shared" si="12"/>
        <v xml:space="preserve"> </v>
      </c>
      <c r="BP59" s="460" t="str">
        <f>FILIACIÓN!Y57</f>
        <v/>
      </c>
      <c r="BQ59" s="460" t="str">
        <f t="shared" si="13"/>
        <v/>
      </c>
      <c r="BR59" s="460" t="str">
        <f t="shared" si="14"/>
        <v/>
      </c>
      <c r="BS59" s="460"/>
      <c r="BT59" s="535"/>
      <c r="BU59" s="535"/>
      <c r="BV59" s="535"/>
      <c r="BW59" s="534"/>
      <c r="BX59" s="534"/>
      <c r="BY59" s="534"/>
      <c r="BZ59" s="39"/>
      <c r="CA59" s="531" t="str">
        <f t="shared" si="15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9"/>
      <c r="CX59" s="39"/>
      <c r="CY59" s="39"/>
      <c r="CZ59" s="39"/>
      <c r="DA59" s="39"/>
      <c r="DB59" s="39"/>
      <c r="DC59" s="39"/>
      <c r="DD59" s="39"/>
      <c r="DE59" s="39"/>
      <c r="DF59" s="39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655" t="str">
        <f>IF(FILIACIÓN!B58="","",UPPER(FILIACIÓN!B58))</f>
        <v/>
      </c>
      <c r="C60" s="656"/>
      <c r="D60" s="657"/>
      <c r="E60" s="465" t="str">
        <f>'ASISTENCIA 1'!CD61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0"/>
        <v/>
      </c>
      <c r="BN60" s="462" t="str">
        <f t="shared" si="11"/>
        <v/>
      </c>
      <c r="BO60" s="192" t="str">
        <f t="shared" si="12"/>
        <v xml:space="preserve"> </v>
      </c>
      <c r="BP60" s="460" t="str">
        <f>FILIACIÓN!Y58</f>
        <v/>
      </c>
      <c r="BQ60" s="460" t="str">
        <f t="shared" si="13"/>
        <v/>
      </c>
      <c r="BR60" s="460" t="str">
        <f t="shared" si="14"/>
        <v/>
      </c>
      <c r="BS60" s="460"/>
      <c r="BT60" s="535"/>
      <c r="BU60" s="535"/>
      <c r="BV60" s="535"/>
      <c r="BW60" s="534"/>
      <c r="BX60" s="534"/>
      <c r="BY60" s="534"/>
      <c r="BZ60" s="39"/>
      <c r="CA60" s="531" t="str">
        <f t="shared" si="15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9"/>
      <c r="CX60" s="39"/>
      <c r="CY60" s="39"/>
      <c r="CZ60" s="39"/>
      <c r="DA60" s="39"/>
      <c r="DB60" s="39"/>
      <c r="DC60" s="39"/>
      <c r="DD60" s="39"/>
      <c r="DE60" s="39"/>
      <c r="DF60" s="39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655" t="str">
        <f>IF(FILIACIÓN!B59="","",UPPER(FILIACIÓN!B59))</f>
        <v/>
      </c>
      <c r="C61" s="656"/>
      <c r="D61" s="657"/>
      <c r="E61" s="465" t="str">
        <f>'ASISTENCIA 1'!CD62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/>
      <c r="BU61" s="425"/>
      <c r="BV61" s="425"/>
      <c r="BW61" s="82"/>
      <c r="BX61" s="82"/>
      <c r="BY61" s="82"/>
      <c r="BZ61" s="39"/>
      <c r="CA61" s="531" t="str">
        <f t="shared" si="9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9"/>
      <c r="CX61" s="39"/>
      <c r="CY61" s="39"/>
      <c r="CZ61" s="39"/>
      <c r="DA61" s="39"/>
      <c r="DB61" s="39"/>
      <c r="DC61" s="39"/>
      <c r="DD61" s="39"/>
      <c r="DE61" s="39"/>
      <c r="DF61" s="39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658" t="str">
        <f>IF(FILIACIÓN!B60="","",UPPER(FILIACIÓN!B60))</f>
        <v/>
      </c>
      <c r="C62" s="659"/>
      <c r="D62" s="660"/>
      <c r="E62" s="466" t="str">
        <f>'ASISTENCIA 1'!CD63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6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/>
      <c r="BU62" s="425"/>
      <c r="BV62" s="425"/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9"/>
      <c r="CX62" s="39"/>
      <c r="CY62" s="39"/>
      <c r="CZ62" s="39"/>
      <c r="DA62" s="39"/>
      <c r="DB62" s="39"/>
      <c r="DC62" s="39"/>
      <c r="DD62" s="39"/>
      <c r="DE62" s="39"/>
      <c r="DF62" s="39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1"/>
      <c r="AY63" s="53"/>
      <c r="AZ63" s="53"/>
      <c r="BA63" s="53"/>
      <c r="BB63" s="53"/>
      <c r="BC63" s="53"/>
      <c r="BD63" s="53"/>
      <c r="BE63" s="53"/>
      <c r="BF63" s="53"/>
      <c r="BG63" s="53"/>
      <c r="BH63" s="53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110" ht="15" customHeight="1">
      <c r="B65" s="218" t="s">
        <v>214</v>
      </c>
      <c r="C65" s="216" t="s">
        <v>218</v>
      </c>
      <c r="D65" s="242" t="s">
        <v>222</v>
      </c>
    </row>
    <row r="66" spans="2:110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87"/>
      <c r="R66" s="687"/>
      <c r="S66" s="687"/>
      <c r="T66" s="687"/>
      <c r="U66" s="687"/>
      <c r="V66" s="687"/>
      <c r="W66" s="687"/>
      <c r="X66" s="687"/>
      <c r="Y66" s="687"/>
      <c r="Z66" s="687"/>
      <c r="AA66" s="687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110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65"/>
      <c r="R67" s="265"/>
      <c r="S67" s="265"/>
      <c r="T67" s="265"/>
      <c r="U67" s="265"/>
      <c r="V67" s="265"/>
      <c r="W67" s="265"/>
      <c r="X67" s="265"/>
      <c r="Y67" s="265"/>
      <c r="Z67" s="265"/>
      <c r="AA67" s="265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110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8"/>
      <c r="R68" s="268"/>
      <c r="S68" s="268"/>
      <c r="T68" s="268"/>
      <c r="U68" s="268"/>
      <c r="V68" s="268"/>
      <c r="W68" s="268"/>
      <c r="X68" s="268"/>
      <c r="Y68" s="268"/>
      <c r="Z68" s="268"/>
      <c r="AA68" s="268"/>
      <c r="AB68" s="267"/>
      <c r="AC68" s="267"/>
      <c r="AD68" s="267"/>
      <c r="AE68" s="267"/>
      <c r="AF68" s="269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110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8"/>
      <c r="R69" s="268"/>
      <c r="S69" s="268"/>
      <c r="T69" s="268"/>
      <c r="U69" s="268"/>
      <c r="V69" s="268"/>
      <c r="W69" s="268"/>
      <c r="X69" s="268"/>
      <c r="Y69" s="268"/>
      <c r="Z69" s="268"/>
      <c r="AA69" s="268"/>
      <c r="AB69" s="267"/>
      <c r="AC69" s="267"/>
      <c r="AD69" s="267"/>
      <c r="AE69" s="267"/>
      <c r="AF69" s="269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110" ht="18.75" customHeight="1">
      <c r="B70" s="505" t="s">
        <v>314</v>
      </c>
      <c r="C70" s="505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70"/>
      <c r="R70" s="270"/>
      <c r="S70" s="270"/>
      <c r="T70" s="270"/>
      <c r="U70" s="270"/>
      <c r="V70" s="270"/>
      <c r="W70" s="270"/>
      <c r="X70" s="270"/>
      <c r="Y70" s="270"/>
      <c r="Z70" s="270"/>
      <c r="AA70" s="270"/>
      <c r="AB70" s="271"/>
      <c r="AC70" s="271"/>
      <c r="AD70" s="271"/>
      <c r="AE70" s="271"/>
      <c r="AF70" s="269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110" ht="18.75" customHeight="1">
      <c r="B71" s="506" t="s">
        <v>259</v>
      </c>
      <c r="C71" s="507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59"/>
      <c r="R71" s="259"/>
      <c r="S71" s="259"/>
      <c r="T71" s="259"/>
      <c r="U71" s="259"/>
      <c r="V71" s="259"/>
      <c r="W71" s="259"/>
      <c r="X71" s="259"/>
      <c r="Y71" s="259"/>
      <c r="Z71" s="259"/>
      <c r="AA71" s="259"/>
      <c r="AB71" s="260"/>
      <c r="AC71" s="260"/>
      <c r="AD71" s="260"/>
      <c r="AE71" s="260"/>
      <c r="AF71" s="261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110" ht="15" customHeight="1">
      <c r="B72" s="506" t="s">
        <v>315</v>
      </c>
      <c r="C72" s="507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110" ht="19.5" customHeight="1">
      <c r="B73" s="506" t="s">
        <v>316</v>
      </c>
      <c r="C73" s="507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  <c r="CW73" s="1"/>
      <c r="CX73" s="1"/>
      <c r="CY73" s="1"/>
      <c r="CZ73" s="1"/>
      <c r="DA73" s="1"/>
      <c r="DB73" s="1"/>
      <c r="DC73" s="1"/>
      <c r="DD73" s="1"/>
      <c r="DE73" s="1"/>
      <c r="DF73" s="1"/>
    </row>
    <row r="74" spans="2:110" ht="19.5" customHeight="1">
      <c r="B74" s="506" t="s">
        <v>260</v>
      </c>
      <c r="C74" s="507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W74" s="1"/>
      <c r="CX74" s="1"/>
      <c r="CY74" s="1"/>
      <c r="CZ74" s="1"/>
      <c r="DA74" s="1"/>
      <c r="DB74" s="1"/>
      <c r="DC74" s="1"/>
      <c r="DD74" s="1"/>
      <c r="DE74" s="1"/>
      <c r="DF74" s="1"/>
    </row>
    <row r="75" spans="2:110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W75" s="1"/>
      <c r="CX75" s="1"/>
      <c r="CY75" s="1"/>
      <c r="CZ75" s="1"/>
      <c r="DA75" s="1"/>
      <c r="DB75" s="1"/>
      <c r="DC75" s="1"/>
      <c r="DD75" s="1"/>
      <c r="DE75" s="1"/>
      <c r="DF75" s="1"/>
    </row>
    <row r="76" spans="2:110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W76" s="1"/>
      <c r="CX76" s="1"/>
      <c r="CY76" s="1"/>
      <c r="CZ76" s="1"/>
      <c r="DA76" s="1"/>
      <c r="DB76" s="1"/>
      <c r="DC76" s="1"/>
      <c r="DD76" s="1"/>
      <c r="DE76" s="1"/>
      <c r="DF76" s="1"/>
    </row>
    <row r="77" spans="2:110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110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M78" s="1"/>
      <c r="BN78" s="1"/>
      <c r="BO78" s="1"/>
      <c r="BP78" s="1"/>
      <c r="BQ78" s="1"/>
      <c r="BR78" s="1"/>
      <c r="BS78" s="1"/>
      <c r="BT78" s="2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</row>
    <row r="79" spans="2:110" ht="15" hidden="1" customHeight="1">
      <c r="B79" s="511">
        <v>1</v>
      </c>
      <c r="C79" s="511">
        <v>1</v>
      </c>
      <c r="BM79" s="1"/>
      <c r="BN79" s="1"/>
      <c r="BO79" s="1"/>
      <c r="BP79" s="1"/>
      <c r="BQ79" s="1"/>
      <c r="BR79" s="1"/>
      <c r="BS79" s="1"/>
      <c r="BT79" s="26"/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</row>
    <row r="80" spans="2:110" ht="15" hidden="1" customHeight="1">
      <c r="B80" s="511">
        <v>2</v>
      </c>
      <c r="C80" s="511">
        <v>2</v>
      </c>
      <c r="BM80" s="1"/>
      <c r="BN80" s="1"/>
      <c r="BO80" s="1"/>
      <c r="BP80" s="1"/>
      <c r="BQ80" s="1"/>
      <c r="BR80" s="1"/>
      <c r="BS80" s="1"/>
      <c r="BT80" s="26"/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</row>
    <row r="81" spans="2:110" ht="15" hidden="1" customHeight="1">
      <c r="B81" s="511">
        <v>3</v>
      </c>
      <c r="C81" s="511">
        <v>3</v>
      </c>
      <c r="BM81" s="1"/>
      <c r="BN81" s="1"/>
      <c r="BO81" s="1"/>
      <c r="BP81" s="1"/>
      <c r="BQ81" s="1"/>
      <c r="BR81" s="1"/>
      <c r="BS81" s="1"/>
      <c r="BT81" s="26"/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</row>
    <row r="82" spans="2:110" ht="15" hidden="1" customHeight="1">
      <c r="B82" s="511">
        <v>4</v>
      </c>
      <c r="C82" s="511">
        <v>4</v>
      </c>
      <c r="BM82" s="1"/>
      <c r="BN82" s="1"/>
      <c r="BO82" s="1"/>
      <c r="BP82" s="1"/>
      <c r="BQ82" s="1"/>
      <c r="BR82" s="1"/>
      <c r="BS82" s="1"/>
      <c r="BT82" s="26"/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</row>
    <row r="83" spans="2:110" ht="15" hidden="1" customHeight="1">
      <c r="B83" s="511">
        <v>5</v>
      </c>
      <c r="C83" s="511">
        <v>5</v>
      </c>
      <c r="BM83" s="1"/>
      <c r="BN83" s="1"/>
      <c r="BO83" s="1"/>
      <c r="BP83" s="1"/>
      <c r="BQ83" s="1"/>
      <c r="BR83" s="1"/>
      <c r="BS83" s="1"/>
      <c r="BT83" s="26"/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</row>
    <row r="84" spans="2:110" ht="15" hidden="1" customHeight="1">
      <c r="B84" s="511">
        <v>6</v>
      </c>
      <c r="C84" s="511">
        <v>6</v>
      </c>
      <c r="BM84" s="1"/>
      <c r="BN84" s="1"/>
      <c r="BO84" s="1"/>
      <c r="BP84" s="1"/>
      <c r="BQ84" s="1"/>
      <c r="BR84" s="1"/>
      <c r="BS84" s="1"/>
      <c r="BT84" s="26"/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</row>
    <row r="85" spans="2:110" ht="15" hidden="1" customHeight="1">
      <c r="B85" s="511">
        <v>7</v>
      </c>
      <c r="C85" s="511">
        <v>7</v>
      </c>
      <c r="BM85" s="1"/>
      <c r="BN85" s="1"/>
      <c r="BO85" s="1"/>
      <c r="BP85" s="1"/>
      <c r="BQ85" s="1"/>
      <c r="BR85" s="1"/>
      <c r="BS85" s="1"/>
      <c r="BT85" s="26"/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</row>
    <row r="86" spans="2:110" ht="15" hidden="1" customHeight="1">
      <c r="B86" s="511">
        <v>8</v>
      </c>
      <c r="C86" s="511">
        <v>8</v>
      </c>
      <c r="BM86" s="1"/>
      <c r="BN86" s="1"/>
      <c r="BO86" s="1"/>
      <c r="BP86" s="1"/>
      <c r="BQ86" s="1"/>
      <c r="BR86" s="1"/>
      <c r="BS86" s="1"/>
      <c r="BT86" s="26"/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</row>
    <row r="87" spans="2:110" ht="15" hidden="1" customHeight="1">
      <c r="B87" s="511">
        <v>9</v>
      </c>
      <c r="C87" s="511">
        <v>9</v>
      </c>
      <c r="BM87" s="1"/>
      <c r="BN87" s="1"/>
      <c r="BO87" s="1"/>
      <c r="BP87" s="1"/>
      <c r="BQ87" s="1"/>
      <c r="BR87" s="1"/>
      <c r="BS87" s="1"/>
      <c r="BT87" s="26"/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</row>
    <row r="88" spans="2:110" ht="15" hidden="1" customHeight="1">
      <c r="B88" s="511">
        <v>10</v>
      </c>
      <c r="C88" s="511">
        <v>10</v>
      </c>
      <c r="BM88" s="1"/>
      <c r="BN88" s="1"/>
      <c r="BO88" s="1"/>
      <c r="BP88" s="1"/>
      <c r="BQ88" s="1"/>
      <c r="BR88" s="1"/>
      <c r="BS88" s="1"/>
      <c r="BT88" s="26"/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</row>
    <row r="89" spans="2:110" ht="15" hidden="1" customHeight="1">
      <c r="B89" s="511"/>
      <c r="C89" s="511">
        <v>11</v>
      </c>
      <c r="BM89" s="1"/>
      <c r="BN89" s="1"/>
      <c r="BO89" s="1"/>
      <c r="BP89" s="1"/>
      <c r="BQ89" s="1"/>
      <c r="BR89" s="1"/>
      <c r="BS89" s="1"/>
      <c r="BT89" s="26"/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</row>
    <row r="90" spans="2:110" ht="15" hidden="1" customHeight="1">
      <c r="B90" s="511"/>
      <c r="C90" s="511">
        <v>12</v>
      </c>
      <c r="BM90" s="1"/>
      <c r="BN90" s="1"/>
      <c r="BO90" s="1"/>
      <c r="BP90" s="1"/>
      <c r="BQ90" s="1"/>
      <c r="BR90" s="1"/>
      <c r="BS90" s="1"/>
      <c r="BT90" s="26"/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</row>
    <row r="91" spans="2:110" ht="15" hidden="1" customHeight="1">
      <c r="B91" s="511"/>
      <c r="C91" s="511">
        <v>13</v>
      </c>
      <c r="BM91" s="1"/>
      <c r="BN91" s="1"/>
      <c r="BO91" s="1"/>
      <c r="BP91" s="1"/>
      <c r="BQ91" s="1"/>
      <c r="BR91" s="1"/>
      <c r="BS91" s="1"/>
      <c r="BT91" s="26"/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</row>
    <row r="92" spans="2:110" ht="15" hidden="1" customHeight="1">
      <c r="B92" s="511"/>
      <c r="C92" s="511">
        <v>14</v>
      </c>
      <c r="BM92" s="1"/>
      <c r="BN92" s="1"/>
      <c r="BO92" s="1"/>
      <c r="BP92" s="1"/>
      <c r="BQ92" s="1"/>
      <c r="BR92" s="1"/>
      <c r="BS92" s="1"/>
      <c r="BT92" s="26"/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</row>
    <row r="93" spans="2:110" ht="15" hidden="1" customHeight="1">
      <c r="B93" s="511"/>
      <c r="C93" s="511">
        <v>15</v>
      </c>
      <c r="BM93" s="1"/>
      <c r="BN93" s="1"/>
      <c r="BO93" s="1"/>
      <c r="BP93" s="1"/>
      <c r="BQ93" s="1"/>
      <c r="BR93" s="1"/>
      <c r="BS93" s="1"/>
      <c r="BT93" s="26"/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</row>
    <row r="94" spans="2:110" ht="15" customHeight="1">
      <c r="BM94" s="1"/>
      <c r="BN94" s="1"/>
      <c r="BO94" s="1"/>
      <c r="BP94" s="1"/>
      <c r="BQ94" s="1"/>
      <c r="BR94" s="1"/>
      <c r="BS94" s="1"/>
      <c r="BT94" s="26"/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</row>
    <row r="95" spans="2:110" ht="15" customHeight="1">
      <c r="BM95" s="1"/>
      <c r="BN95" s="1"/>
      <c r="BO95" s="1"/>
      <c r="BP95" s="1"/>
      <c r="BQ95" s="1"/>
      <c r="BR95" s="1"/>
      <c r="BS95" s="1"/>
      <c r="BT95" s="26"/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</row>
    <row r="96" spans="2:110" ht="15" customHeight="1">
      <c r="BM96" s="1"/>
      <c r="BN96" s="1"/>
      <c r="BO96" s="1"/>
      <c r="BP96" s="1"/>
      <c r="BQ96" s="1"/>
      <c r="BR96" s="1"/>
      <c r="BS96" s="1"/>
      <c r="BT96" s="26"/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</row>
    <row r="97" spans="65:110" ht="15" customHeight="1">
      <c r="BM97" s="1"/>
      <c r="BN97" s="1"/>
      <c r="BO97" s="1"/>
      <c r="BP97" s="1"/>
      <c r="BQ97" s="1"/>
      <c r="BR97" s="1"/>
      <c r="BS97" s="1"/>
      <c r="BT97" s="26"/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</row>
    <row r="98" spans="65:110" ht="15" customHeight="1">
      <c r="BM98" s="1"/>
      <c r="BN98" s="1"/>
      <c r="BO98" s="1"/>
      <c r="BP98" s="1"/>
      <c r="BQ98" s="1"/>
      <c r="BR98" s="1"/>
      <c r="BS98" s="1"/>
      <c r="BT98" s="26"/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</row>
    <row r="99" spans="65:110" ht="15" customHeight="1">
      <c r="BM99" s="1"/>
      <c r="BN99" s="1"/>
      <c r="BO99" s="1"/>
      <c r="BP99" s="1"/>
      <c r="BQ99" s="1"/>
      <c r="BR99" s="1"/>
      <c r="BS99" s="1"/>
      <c r="BT99" s="26"/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</row>
    <row r="100" spans="65:110" ht="15" customHeight="1">
      <c r="BM100" s="1"/>
      <c r="BN100" s="1"/>
      <c r="BO100" s="1"/>
      <c r="BP100" s="1"/>
      <c r="BQ100" s="1"/>
      <c r="BR100" s="1"/>
      <c r="BS100" s="1"/>
      <c r="BT100" s="26"/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</row>
    <row r="101" spans="65:110" ht="15" customHeight="1">
      <c r="BM101" s="1"/>
      <c r="BN101" s="1"/>
      <c r="BO101" s="1"/>
      <c r="BP101" s="1"/>
      <c r="BQ101" s="1"/>
      <c r="BR101" s="1"/>
      <c r="BS101" s="1"/>
      <c r="BT101" s="26"/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</row>
    <row r="102" spans="65:110" ht="15" customHeight="1">
      <c r="BM102" s="1"/>
      <c r="BN102" s="1"/>
      <c r="BO102" s="1"/>
      <c r="BP102" s="1"/>
      <c r="BQ102" s="1"/>
      <c r="BR102" s="1"/>
      <c r="BS102" s="1"/>
      <c r="BT102" s="26"/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</row>
    <row r="103" spans="65:110" ht="15" customHeight="1">
      <c r="BM103" s="1"/>
      <c r="BN103" s="1"/>
      <c r="BO103" s="1"/>
      <c r="BP103" s="1"/>
      <c r="BQ103" s="1"/>
      <c r="BR103" s="1"/>
      <c r="BS103" s="1"/>
      <c r="BT103" s="26"/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</row>
    <row r="104" spans="65:110" ht="15" customHeight="1">
      <c r="BM104" s="1"/>
      <c r="BN104" s="1"/>
      <c r="BO104" s="1"/>
      <c r="BP104" s="1"/>
      <c r="BQ104" s="1"/>
      <c r="BR104" s="1"/>
      <c r="BS104" s="1"/>
      <c r="BT104" s="26"/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</row>
    <row r="105" spans="65:110" ht="15" customHeight="1">
      <c r="BM105" s="1"/>
      <c r="BN105" s="1"/>
      <c r="BO105" s="1"/>
      <c r="BP105" s="1"/>
      <c r="BQ105" s="1"/>
      <c r="BR105" s="1"/>
      <c r="BS105" s="1"/>
      <c r="BT105" s="26"/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</row>
    <row r="106" spans="65:110" ht="15" customHeight="1">
      <c r="BM106" s="1"/>
      <c r="BN106" s="1"/>
      <c r="BO106" s="1"/>
      <c r="BP106" s="1"/>
      <c r="BQ106" s="1"/>
      <c r="BR106" s="1"/>
      <c r="BS106" s="1"/>
      <c r="BT106" s="26"/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</row>
    <row r="107" spans="65:110" ht="15" customHeight="1">
      <c r="BM107" s="1"/>
      <c r="BN107" s="1"/>
      <c r="BO107" s="1"/>
      <c r="BP107" s="1"/>
      <c r="BQ107" s="1"/>
      <c r="BR107" s="1"/>
      <c r="BS107" s="1"/>
      <c r="BT107" s="26"/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</row>
    <row r="108" spans="65:110" ht="15" customHeight="1">
      <c r="BM108" s="1"/>
      <c r="BN108" s="1"/>
      <c r="BO108" s="1"/>
      <c r="BP108" s="1"/>
      <c r="BQ108" s="1"/>
      <c r="BR108" s="1"/>
      <c r="BS108" s="1"/>
      <c r="BT108" s="26"/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</row>
    <row r="109" spans="65:110" ht="15" customHeight="1">
      <c r="BM109" s="1"/>
      <c r="BN109" s="1"/>
      <c r="BO109" s="1"/>
      <c r="BP109" s="1"/>
      <c r="BQ109" s="1"/>
      <c r="BR109" s="1"/>
      <c r="BS109" s="1"/>
      <c r="BT109" s="26"/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</row>
    <row r="110" spans="65:110" ht="15" customHeight="1">
      <c r="BM110" s="1"/>
      <c r="BN110" s="1"/>
      <c r="BO110" s="1"/>
      <c r="BP110" s="1"/>
      <c r="BQ110" s="1"/>
      <c r="BR110" s="1"/>
      <c r="BS110" s="1"/>
      <c r="BT110" s="26"/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</row>
    <row r="111" spans="65:110" ht="15" customHeight="1">
      <c r="BM111" s="1"/>
      <c r="BN111" s="1"/>
      <c r="BO111" s="1"/>
      <c r="BP111" s="1"/>
      <c r="BQ111" s="1"/>
      <c r="BR111" s="1"/>
      <c r="BS111" s="1"/>
      <c r="BT111" s="26"/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</row>
    <row r="112" spans="65:110" ht="15" customHeight="1">
      <c r="BM112" s="1"/>
      <c r="BN112" s="1"/>
      <c r="BO112" s="1"/>
      <c r="BP112" s="1"/>
      <c r="BQ112" s="1"/>
      <c r="BR112" s="1"/>
      <c r="BS112" s="1"/>
      <c r="BT112" s="26"/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</row>
    <row r="113" spans="65:110" ht="15" customHeight="1">
      <c r="BM113" s="1"/>
      <c r="BN113" s="1"/>
      <c r="BO113" s="1"/>
      <c r="BP113" s="1"/>
      <c r="BQ113" s="1"/>
      <c r="BR113" s="1"/>
      <c r="BS113" s="1"/>
      <c r="BT113" s="26"/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</row>
    <row r="114" spans="65:110" ht="15" customHeight="1">
      <c r="BM114" s="1"/>
      <c r="BN114" s="1"/>
      <c r="BO114" s="1"/>
      <c r="BP114" s="1"/>
      <c r="BQ114" s="1"/>
      <c r="BR114" s="1"/>
      <c r="BS114" s="1"/>
      <c r="BT114" s="26"/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</row>
    <row r="115" spans="65:110" ht="15" customHeight="1">
      <c r="BM115" s="1"/>
      <c r="BN115" s="1"/>
      <c r="BO115" s="1"/>
      <c r="BP115" s="1"/>
      <c r="BQ115" s="1"/>
      <c r="BR115" s="1"/>
      <c r="BS115" s="1"/>
      <c r="BT115" s="26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</row>
    <row r="116" spans="65:110" ht="15" customHeight="1">
      <c r="BM116" s="1"/>
      <c r="BN116" s="1"/>
      <c r="BO116" s="1"/>
      <c r="BP116" s="1"/>
      <c r="BQ116" s="1"/>
      <c r="BR116" s="1"/>
      <c r="BS116" s="1"/>
      <c r="BT116" s="26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</row>
    <row r="117" spans="65:110" ht="15" customHeight="1">
      <c r="BM117" s="1"/>
      <c r="BN117" s="1"/>
      <c r="BO117" s="1"/>
      <c r="BP117" s="1"/>
      <c r="BQ117" s="1"/>
      <c r="BR117" s="1"/>
      <c r="BS117" s="1"/>
      <c r="BT117" s="26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</row>
    <row r="118" spans="65:110" ht="15" customHeight="1">
      <c r="BM118" s="1"/>
      <c r="BN118" s="1"/>
      <c r="BO118" s="1"/>
      <c r="BP118" s="1"/>
      <c r="BQ118" s="1"/>
      <c r="BR118" s="1"/>
      <c r="BS118" s="1"/>
      <c r="BT118" s="26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</row>
    <row r="119" spans="65:110" ht="15" customHeight="1">
      <c r="BM119" s="1"/>
      <c r="BN119" s="1"/>
      <c r="BO119" s="1"/>
      <c r="BP119" s="1"/>
      <c r="BQ119" s="1"/>
      <c r="BR119" s="1"/>
      <c r="BS119" s="1"/>
      <c r="BT119" s="26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</row>
    <row r="120" spans="65:110" ht="15" customHeight="1">
      <c r="BM120" s="1"/>
      <c r="BN120" s="1"/>
      <c r="BO120" s="1"/>
      <c r="BP120" s="1"/>
      <c r="BQ120" s="1"/>
      <c r="BR120" s="1"/>
      <c r="BS120" s="1"/>
      <c r="BT120" s="26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</row>
    <row r="121" spans="65:110" ht="15" customHeight="1">
      <c r="BM121" s="1"/>
      <c r="BN121" s="1"/>
      <c r="BO121" s="1"/>
      <c r="BP121" s="1"/>
      <c r="BQ121" s="1"/>
      <c r="BR121" s="1"/>
      <c r="BS121" s="1"/>
      <c r="BT121" s="26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</row>
    <row r="122" spans="65:110" ht="15" customHeight="1">
      <c r="BM122" s="1"/>
      <c r="BN122" s="1"/>
      <c r="BO122" s="1"/>
      <c r="BP122" s="1"/>
      <c r="BQ122" s="1"/>
      <c r="BR122" s="1"/>
      <c r="BS122" s="1"/>
      <c r="BT122" s="26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</row>
    <row r="123" spans="65:110" ht="15" customHeight="1">
      <c r="BM123" s="1"/>
      <c r="BN123" s="1"/>
      <c r="BO123" s="1"/>
      <c r="BP123" s="1"/>
      <c r="BQ123" s="1"/>
      <c r="BR123" s="1"/>
      <c r="BS123" s="1"/>
      <c r="BT123" s="26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</row>
    <row r="124" spans="65:110" ht="15" customHeight="1">
      <c r="BM124" s="1"/>
      <c r="BN124" s="1"/>
      <c r="BO124" s="1"/>
      <c r="BP124" s="1"/>
      <c r="BQ124" s="1"/>
      <c r="BR124" s="1"/>
      <c r="BS124" s="1"/>
      <c r="BT124" s="26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</row>
    <row r="125" spans="65:110" ht="15" customHeight="1">
      <c r="BM125" s="1"/>
      <c r="BN125" s="1"/>
      <c r="BO125" s="1"/>
      <c r="BP125" s="1"/>
      <c r="BQ125" s="1"/>
      <c r="BR125" s="1"/>
      <c r="BS125" s="1"/>
      <c r="BT125" s="26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</row>
    <row r="126" spans="65:110" ht="15" customHeight="1">
      <c r="BM126" s="1"/>
      <c r="BN126" s="1"/>
      <c r="BO126" s="1"/>
      <c r="BP126" s="1"/>
      <c r="BQ126" s="1"/>
      <c r="BR126" s="1"/>
      <c r="BS126" s="1"/>
      <c r="BT126" s="26"/>
      <c r="BV126" s="26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</row>
    <row r="127" spans="65:110" ht="15" customHeight="1">
      <c r="BM127" s="1"/>
      <c r="BN127" s="1"/>
      <c r="BO127" s="1"/>
      <c r="BP127" s="1"/>
      <c r="BQ127" s="1"/>
      <c r="BR127" s="1"/>
      <c r="BS127" s="1"/>
      <c r="BT127" s="26"/>
      <c r="BV127" s="26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</row>
    <row r="128" spans="65:110" ht="15" customHeight="1">
      <c r="BM128" s="1"/>
      <c r="BN128" s="1"/>
      <c r="BO128" s="1"/>
      <c r="BP128" s="1"/>
      <c r="BQ128" s="1"/>
      <c r="BR128" s="1"/>
      <c r="BS128" s="1"/>
      <c r="BT128" s="26"/>
      <c r="BV128" s="26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</row>
    <row r="129" spans="65:110" ht="15" customHeight="1">
      <c r="BM129" s="1"/>
      <c r="BN129" s="1"/>
      <c r="BO129" s="1"/>
      <c r="BP129" s="1"/>
      <c r="BQ129" s="1"/>
      <c r="BR129" s="1"/>
      <c r="BS129" s="1"/>
      <c r="BT129" s="26"/>
      <c r="BV129" s="26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</row>
    <row r="130" spans="65:110" ht="15" customHeight="1">
      <c r="BM130" s="1"/>
      <c r="BN130" s="1"/>
      <c r="BO130" s="1"/>
      <c r="BP130" s="1"/>
      <c r="BQ130" s="1"/>
      <c r="BR130" s="1"/>
      <c r="BS130" s="1"/>
      <c r="BT130" s="26"/>
      <c r="BV130" s="26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</row>
    <row r="131" spans="65:110" ht="15" customHeight="1">
      <c r="BM131" s="1"/>
      <c r="BN131" s="1"/>
      <c r="BO131" s="1"/>
      <c r="BP131" s="1"/>
      <c r="BQ131" s="1"/>
      <c r="BR131" s="1"/>
      <c r="BS131" s="1"/>
      <c r="BT131" s="26"/>
      <c r="BV131" s="26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</row>
    <row r="132" spans="65:110" ht="15" customHeight="1">
      <c r="BM132" s="1"/>
      <c r="BN132" s="1"/>
      <c r="BO132" s="1"/>
      <c r="BP132" s="1"/>
      <c r="BQ132" s="1"/>
      <c r="BR132" s="1"/>
      <c r="BS132" s="1"/>
      <c r="BT132" s="26"/>
      <c r="BV132" s="26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</row>
    <row r="133" spans="65:110" ht="15" customHeight="1">
      <c r="BM133" s="1"/>
      <c r="BN133" s="1"/>
      <c r="BO133" s="1"/>
      <c r="BP133" s="1"/>
      <c r="BQ133" s="1"/>
      <c r="BR133" s="1"/>
      <c r="BS133" s="1"/>
      <c r="BT133" s="26"/>
      <c r="BV133" s="26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</row>
    <row r="134" spans="65:110" ht="15" customHeight="1">
      <c r="BM134" s="1"/>
      <c r="BN134" s="1"/>
      <c r="BO134" s="1"/>
      <c r="BP134" s="1"/>
      <c r="BQ134" s="1"/>
      <c r="BR134" s="1"/>
      <c r="BS134" s="1"/>
      <c r="BT134" s="26"/>
      <c r="BV134" s="26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</row>
    <row r="135" spans="65:110" ht="15" customHeight="1">
      <c r="BM135" s="1"/>
      <c r="BN135" s="1"/>
      <c r="BO135" s="1"/>
      <c r="BP135" s="1"/>
      <c r="BQ135" s="1"/>
      <c r="BR135" s="1"/>
      <c r="BS135" s="1"/>
      <c r="BT135" s="26"/>
      <c r="BV135" s="26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</row>
    <row r="136" spans="65:110" ht="15" customHeight="1">
      <c r="BM136" s="1"/>
      <c r="BN136" s="1"/>
      <c r="BO136" s="1"/>
      <c r="BP136" s="1"/>
      <c r="BQ136" s="1"/>
      <c r="BR136" s="1"/>
      <c r="BS136" s="1"/>
      <c r="BT136" s="26"/>
      <c r="BV136" s="26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</row>
    <row r="137" spans="65:110" ht="15" customHeight="1">
      <c r="BM137" s="1"/>
      <c r="BN137" s="1"/>
      <c r="BO137" s="1"/>
      <c r="BP137" s="1"/>
      <c r="BQ137" s="1"/>
      <c r="BR137" s="1"/>
      <c r="BS137" s="1"/>
      <c r="BT137" s="26"/>
      <c r="BV137" s="26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</row>
    <row r="138" spans="65:110" ht="15" customHeight="1">
      <c r="BM138" s="1"/>
      <c r="BN138" s="1"/>
      <c r="BO138" s="1"/>
      <c r="BP138" s="1"/>
      <c r="BQ138" s="1"/>
      <c r="BR138" s="1"/>
      <c r="BS138" s="1"/>
      <c r="BT138" s="26"/>
      <c r="BV138" s="26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</row>
    <row r="139" spans="65:110" ht="15" customHeight="1">
      <c r="BM139" s="1"/>
      <c r="BN139" s="1"/>
      <c r="BO139" s="1"/>
      <c r="BP139" s="1"/>
      <c r="BQ139" s="1"/>
      <c r="BR139" s="1"/>
      <c r="BS139" s="1"/>
      <c r="BT139" s="26"/>
      <c r="BV139" s="26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</row>
    <row r="140" spans="65:110" ht="15" customHeight="1">
      <c r="BM140" s="1"/>
      <c r="BN140" s="1"/>
      <c r="BO140" s="1"/>
      <c r="BP140" s="1"/>
      <c r="BQ140" s="1"/>
      <c r="BR140" s="1"/>
      <c r="BS140" s="1"/>
      <c r="BT140" s="26"/>
      <c r="BV140" s="26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</row>
    <row r="141" spans="65:110" ht="15" customHeight="1">
      <c r="BM141" s="1"/>
      <c r="BN141" s="1"/>
      <c r="BO141" s="1"/>
      <c r="BP141" s="1"/>
      <c r="BQ141" s="1"/>
      <c r="BR141" s="1"/>
      <c r="BS141" s="1"/>
      <c r="BT141" s="26"/>
      <c r="BV141" s="26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</row>
    <row r="142" spans="65:110" ht="15" customHeight="1">
      <c r="BM142" s="1"/>
      <c r="BN142" s="1"/>
      <c r="BO142" s="1"/>
      <c r="BP142" s="1"/>
      <c r="BQ142" s="1"/>
      <c r="BR142" s="1"/>
      <c r="BS142" s="1"/>
      <c r="BT142" s="26"/>
      <c r="BV142" s="26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</row>
    <row r="143" spans="65:110" ht="15" customHeight="1">
      <c r="BM143" s="1"/>
      <c r="BN143" s="1"/>
      <c r="BO143" s="1"/>
      <c r="BP143" s="1"/>
      <c r="BQ143" s="1"/>
      <c r="BR143" s="1"/>
      <c r="BS143" s="1"/>
      <c r="BT143" s="26"/>
      <c r="BV143" s="26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</row>
    <row r="144" spans="65:110" ht="15" customHeight="1">
      <c r="BM144" s="1"/>
      <c r="BN144" s="1"/>
      <c r="BO144" s="1"/>
      <c r="BP144" s="1"/>
      <c r="BQ144" s="1"/>
      <c r="BR144" s="1"/>
      <c r="BS144" s="1"/>
      <c r="BT144" s="26"/>
      <c r="BV144" s="26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</row>
    <row r="145" spans="65:110" ht="15" customHeight="1">
      <c r="BM145" s="1"/>
      <c r="BN145" s="1"/>
      <c r="BO145" s="1"/>
      <c r="BP145" s="1"/>
      <c r="BQ145" s="1"/>
      <c r="BR145" s="1"/>
      <c r="BS145" s="1"/>
      <c r="BT145" s="26"/>
      <c r="BV145" s="26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</row>
    <row r="146" spans="65:110" ht="15" customHeight="1">
      <c r="BM146" s="1"/>
      <c r="BN146" s="1"/>
      <c r="BO146" s="1"/>
      <c r="BP146" s="1"/>
      <c r="BQ146" s="1"/>
      <c r="BR146" s="1"/>
      <c r="BS146" s="1"/>
      <c r="BT146" s="26"/>
      <c r="BV146" s="26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</row>
    <row r="147" spans="65:110" ht="15" customHeight="1">
      <c r="BM147" s="1"/>
      <c r="BN147" s="1"/>
      <c r="BO147" s="1"/>
      <c r="BP147" s="1"/>
      <c r="BQ147" s="1"/>
      <c r="BR147" s="1"/>
      <c r="BS147" s="1"/>
      <c r="BT147" s="26"/>
      <c r="BV147" s="26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</row>
    <row r="148" spans="65:110" ht="15" customHeight="1">
      <c r="BM148" s="1"/>
      <c r="BN148" s="1"/>
      <c r="BO148" s="1"/>
      <c r="BP148" s="1"/>
      <c r="BQ148" s="1"/>
      <c r="BR148" s="1"/>
      <c r="BS148" s="1"/>
      <c r="BT148" s="26"/>
      <c r="BV148" s="26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</row>
    <row r="149" spans="65:110" ht="15" customHeight="1">
      <c r="BM149" s="1"/>
      <c r="BN149" s="1"/>
      <c r="BO149" s="1"/>
      <c r="BP149" s="1"/>
      <c r="BQ149" s="1"/>
      <c r="BR149" s="1"/>
      <c r="BS149" s="1"/>
      <c r="BT149" s="26"/>
      <c r="BV149" s="26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</row>
    <row r="150" spans="65:110" ht="15" customHeight="1">
      <c r="BM150" s="1"/>
      <c r="BN150" s="1"/>
      <c r="BO150" s="1"/>
      <c r="BP150" s="1"/>
      <c r="BQ150" s="1"/>
      <c r="BR150" s="1"/>
      <c r="BS150" s="1"/>
      <c r="BT150" s="26"/>
      <c r="BV150" s="26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</row>
    <row r="151" spans="65:110" ht="15" customHeight="1">
      <c r="BM151" s="1"/>
      <c r="BN151" s="1"/>
      <c r="BO151" s="1"/>
      <c r="BP151" s="1"/>
      <c r="BQ151" s="1"/>
      <c r="BR151" s="1"/>
      <c r="BS151" s="1"/>
      <c r="BT151" s="26"/>
      <c r="BV151" s="26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</row>
    <row r="152" spans="65:110" ht="15" customHeight="1">
      <c r="BM152" s="1"/>
      <c r="BN152" s="1"/>
      <c r="BO152" s="1"/>
      <c r="BP152" s="1"/>
      <c r="BQ152" s="1"/>
      <c r="BR152" s="1"/>
      <c r="BS152" s="1"/>
      <c r="BT152" s="26"/>
      <c r="BV152" s="26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</row>
    <row r="153" spans="65:110" ht="15" customHeight="1">
      <c r="BM153" s="1"/>
      <c r="BN153" s="1"/>
      <c r="BO153" s="1"/>
      <c r="BP153" s="1"/>
      <c r="BQ153" s="1"/>
      <c r="BR153" s="1"/>
      <c r="BS153" s="1"/>
      <c r="BT153" s="26"/>
      <c r="BV153" s="26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</row>
    <row r="154" spans="65:110" ht="15" customHeight="1">
      <c r="BM154" s="1"/>
      <c r="BN154" s="1"/>
      <c r="BO154" s="1"/>
      <c r="BP154" s="1"/>
      <c r="BQ154" s="1"/>
      <c r="BR154" s="1"/>
      <c r="BS154" s="1"/>
      <c r="BT154" s="26"/>
      <c r="BV154" s="26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</row>
    <row r="155" spans="65:110" ht="15" customHeight="1">
      <c r="BM155" s="1"/>
      <c r="BN155" s="1"/>
      <c r="BO155" s="1"/>
      <c r="BP155" s="1"/>
      <c r="BQ155" s="1"/>
      <c r="BR155" s="1"/>
      <c r="BS155" s="1"/>
      <c r="BT155" s="26"/>
      <c r="BV155" s="26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</row>
    <row r="156" spans="65:110" ht="15" customHeight="1">
      <c r="BM156" s="1"/>
      <c r="BN156" s="1"/>
      <c r="BO156" s="1"/>
      <c r="BP156" s="1"/>
      <c r="BQ156" s="1"/>
      <c r="BR156" s="1"/>
      <c r="BS156" s="1"/>
      <c r="BT156" s="26"/>
      <c r="BV156" s="26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</row>
    <row r="157" spans="65:110" ht="15" customHeight="1">
      <c r="BM157" s="1"/>
      <c r="BN157" s="1"/>
      <c r="BO157" s="1"/>
      <c r="BP157" s="1"/>
      <c r="BQ157" s="1"/>
      <c r="BR157" s="1"/>
      <c r="BS157" s="1"/>
      <c r="BT157" s="26"/>
      <c r="BV157" s="26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</row>
    <row r="158" spans="65:110" ht="15" customHeight="1">
      <c r="BM158" s="1"/>
      <c r="BN158" s="1"/>
      <c r="BO158" s="1"/>
      <c r="BP158" s="1"/>
      <c r="BQ158" s="1"/>
      <c r="BR158" s="1"/>
      <c r="BS158" s="1"/>
      <c r="BT158" s="26"/>
      <c r="BV158" s="26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</row>
    <row r="159" spans="65:110" ht="15" customHeight="1">
      <c r="BM159" s="1"/>
      <c r="BN159" s="1"/>
      <c r="BO159" s="1"/>
      <c r="BP159" s="1"/>
      <c r="BQ159" s="1"/>
      <c r="BR159" s="1"/>
      <c r="BS159" s="1"/>
      <c r="BT159" s="26"/>
      <c r="BV159" s="26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</row>
    <row r="160" spans="65:110" ht="15" customHeight="1">
      <c r="BM160" s="1"/>
      <c r="BN160" s="1"/>
      <c r="BO160" s="1"/>
      <c r="BP160" s="1"/>
      <c r="BQ160" s="1"/>
      <c r="BR160" s="1"/>
      <c r="BS160" s="1"/>
      <c r="BT160" s="26"/>
      <c r="BV160" s="26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</row>
    <row r="161" spans="65:110" ht="15" customHeight="1">
      <c r="BM161" s="1"/>
      <c r="BN161" s="1"/>
      <c r="BO161" s="1"/>
      <c r="BP161" s="1"/>
      <c r="BQ161" s="1"/>
      <c r="BR161" s="1"/>
      <c r="BS161" s="1"/>
      <c r="BT161" s="26"/>
      <c r="BV161" s="26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</row>
    <row r="162" spans="65:110" ht="15" customHeight="1">
      <c r="BM162" s="1"/>
      <c r="BN162" s="1"/>
      <c r="BO162" s="1"/>
      <c r="BP162" s="1"/>
      <c r="BQ162" s="1"/>
      <c r="BR162" s="1"/>
      <c r="BS162" s="1"/>
      <c r="BT162" s="26"/>
      <c r="BV162" s="26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</row>
    <row r="163" spans="65:110" ht="15" customHeight="1">
      <c r="BM163" s="1"/>
      <c r="BN163" s="1"/>
      <c r="BO163" s="1"/>
      <c r="BP163" s="1"/>
      <c r="BQ163" s="1"/>
      <c r="BR163" s="1"/>
      <c r="BS163" s="1"/>
      <c r="BT163" s="26"/>
      <c r="BV163" s="26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</row>
    <row r="164" spans="65:110" ht="15" customHeight="1">
      <c r="BM164" s="1"/>
      <c r="BN164" s="1"/>
      <c r="BO164" s="1"/>
      <c r="BP164" s="1"/>
      <c r="BQ164" s="1"/>
      <c r="BR164" s="1"/>
      <c r="BS164" s="1"/>
      <c r="BT164" s="26"/>
      <c r="BV164" s="26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</row>
    <row r="165" spans="65:110" ht="15" customHeight="1">
      <c r="BM165" s="1"/>
      <c r="BN165" s="1"/>
      <c r="BO165" s="1"/>
      <c r="BP165" s="1"/>
      <c r="BQ165" s="1"/>
      <c r="BR165" s="1"/>
      <c r="BS165" s="1"/>
      <c r="BT165" s="26"/>
      <c r="BV165" s="26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</row>
    <row r="166" spans="65:110" ht="15" customHeight="1">
      <c r="BM166" s="1"/>
      <c r="BN166" s="1"/>
      <c r="BO166" s="1"/>
      <c r="BP166" s="1"/>
      <c r="BQ166" s="1"/>
      <c r="BR166" s="1"/>
      <c r="BS166" s="1"/>
      <c r="BT166" s="26"/>
      <c r="BV166" s="26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</row>
  </sheetData>
  <sheetProtection password="CF7A" sheet="1" scenarios="1" autoFilter="0"/>
  <autoFilter ref="CA12:CB62"/>
  <mergeCells count="133">
    <mergeCell ref="BE7:BE12"/>
    <mergeCell ref="BF7:BF12"/>
    <mergeCell ref="AZ7:AZ12"/>
    <mergeCell ref="BA7:BA12"/>
    <mergeCell ref="BB7:BB12"/>
    <mergeCell ref="BC7:BC12"/>
    <mergeCell ref="BD7:BD12"/>
    <mergeCell ref="AS7:AS12"/>
    <mergeCell ref="AI7:AI12"/>
    <mergeCell ref="AJ7:AJ12"/>
    <mergeCell ref="AK7:AK12"/>
    <mergeCell ref="AL7:AL12"/>
    <mergeCell ref="AM7:AM12"/>
    <mergeCell ref="AN7:AN12"/>
    <mergeCell ref="AO7:AO12"/>
    <mergeCell ref="AP7:AP12"/>
    <mergeCell ref="AQ7:AQ12"/>
    <mergeCell ref="AY7:AY12"/>
    <mergeCell ref="CA10:CA12"/>
    <mergeCell ref="BR5:BR12"/>
    <mergeCell ref="BU11:BU12"/>
    <mergeCell ref="BT11:BT12"/>
    <mergeCell ref="BT10:BV10"/>
    <mergeCell ref="BQ5:BQ12"/>
    <mergeCell ref="E6:O6"/>
    <mergeCell ref="AR7:AR12"/>
    <mergeCell ref="AH7:AH12"/>
    <mergeCell ref="BP5:BP12"/>
    <mergeCell ref="BM6:BM12"/>
    <mergeCell ref="BO6:BO12"/>
    <mergeCell ref="AT7:AT12"/>
    <mergeCell ref="AV7:AV12"/>
    <mergeCell ref="AH6:AW6"/>
    <mergeCell ref="BM5:BO5"/>
    <mergeCell ref="BN6:BN12"/>
    <mergeCell ref="AY6:BI6"/>
    <mergeCell ref="BI7:BI12"/>
    <mergeCell ref="K7:K12"/>
    <mergeCell ref="AC7:AC12"/>
    <mergeCell ref="R7:R12"/>
    <mergeCell ref="S7:S12"/>
    <mergeCell ref="T7:T12"/>
    <mergeCell ref="E5:BK5"/>
    <mergeCell ref="Q66:AA66"/>
    <mergeCell ref="Q6:AF6"/>
    <mergeCell ref="AF7:AF12"/>
    <mergeCell ref="AD7:AD12"/>
    <mergeCell ref="CN2:CO3"/>
    <mergeCell ref="CL3:CM3"/>
    <mergeCell ref="CF3:CG3"/>
    <mergeCell ref="CH3:CI3"/>
    <mergeCell ref="CJ3:CK3"/>
    <mergeCell ref="CF2:CM2"/>
    <mergeCell ref="E3:BI4"/>
    <mergeCell ref="BX9:BX12"/>
    <mergeCell ref="BW9:BW12"/>
    <mergeCell ref="BG7:BG12"/>
    <mergeCell ref="BH7:BH12"/>
    <mergeCell ref="BV11:BV12"/>
    <mergeCell ref="BK7:BK12"/>
    <mergeCell ref="AW7:AW12"/>
    <mergeCell ref="AU7:AU12"/>
    <mergeCell ref="F7:F12"/>
    <mergeCell ref="G7:G12"/>
    <mergeCell ref="H7:H12"/>
    <mergeCell ref="I7:I12"/>
    <mergeCell ref="B15:D15"/>
    <mergeCell ref="B14:D14"/>
    <mergeCell ref="B13:D13"/>
    <mergeCell ref="B12:D12"/>
    <mergeCell ref="AE7:AE12"/>
    <mergeCell ref="AB7:AB12"/>
    <mergeCell ref="E7:E12"/>
    <mergeCell ref="N7:N12"/>
    <mergeCell ref="M7:M12"/>
    <mergeCell ref="O7:O12"/>
    <mergeCell ref="Q7:Q12"/>
    <mergeCell ref="AA7:AA12"/>
    <mergeCell ref="L7:L12"/>
    <mergeCell ref="J7:J12"/>
    <mergeCell ref="U7:U12"/>
    <mergeCell ref="V7:V12"/>
    <mergeCell ref="W7:W12"/>
    <mergeCell ref="X7:X12"/>
    <mergeCell ref="Y7:Y12"/>
    <mergeCell ref="Z7:Z12"/>
    <mergeCell ref="B16:D16"/>
    <mergeCell ref="B21:D21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48:D48"/>
    <mergeCell ref="B47:D47"/>
    <mergeCell ref="B46:D46"/>
    <mergeCell ref="B29:D29"/>
    <mergeCell ref="B45:D45"/>
    <mergeCell ref="B44:D44"/>
    <mergeCell ref="B43:D43"/>
    <mergeCell ref="B42:D42"/>
    <mergeCell ref="B41:D41"/>
    <mergeCell ref="B40:D40"/>
    <mergeCell ref="B35:D35"/>
    <mergeCell ref="B34:D34"/>
    <mergeCell ref="B33:D33"/>
    <mergeCell ref="B32:D32"/>
    <mergeCell ref="B31:D31"/>
    <mergeCell ref="B19:D19"/>
    <mergeCell ref="B18:D18"/>
    <mergeCell ref="B17:D17"/>
    <mergeCell ref="B20:D20"/>
    <mergeCell ref="B24:D24"/>
    <mergeCell ref="B28:D28"/>
    <mergeCell ref="B27:D27"/>
    <mergeCell ref="B26:D26"/>
    <mergeCell ref="B25:D25"/>
    <mergeCell ref="B23:D23"/>
    <mergeCell ref="B22:D22"/>
    <mergeCell ref="B30:D30"/>
    <mergeCell ref="B56:D56"/>
    <mergeCell ref="B57:D57"/>
    <mergeCell ref="B58:D58"/>
    <mergeCell ref="B59:D59"/>
    <mergeCell ref="B60:D60"/>
    <mergeCell ref="B36:D36"/>
    <mergeCell ref="B39:D39"/>
    <mergeCell ref="B38:D38"/>
    <mergeCell ref="B37:D37"/>
  </mergeCells>
  <conditionalFormatting sqref="BM13:BN62">
    <cfRule type="cellIs" dxfId="38" priority="27" operator="lessThan">
      <formula>51</formula>
    </cfRule>
  </conditionalFormatting>
  <conditionalFormatting sqref="E7:N7 Q7:AE7 AH7:AV7 AY7:BH7 BP5:BS5 BS11:BV12 BM6:BQ12 BS6:BS10 E8:E12 M8:N12 Q8:Q12 AD8:AE12 AA8:AB12 AH8:AH12 AT8:AV12 AR8:AR12 AY8:AY12 BG8:BH12">
    <cfRule type="expression" dxfId="37" priority="21">
      <formula>COLUMN()=CELL("Columna")</formula>
    </cfRule>
  </conditionalFormatting>
  <conditionalFormatting sqref="BK13:BK62 Q13:AF62 AH13:AW62 AY13:BI62 BM13:BV62 A13:O62">
    <cfRule type="expression" dxfId="36" priority="20">
      <formula>ROW()=CELL("Fila")</formula>
    </cfRule>
  </conditionalFormatting>
  <conditionalFormatting sqref="CA13:CA62">
    <cfRule type="top10" dxfId="35" priority="652" bottom="1" rank="10"/>
  </conditionalFormatting>
  <conditionalFormatting sqref="BP13:BP62">
    <cfRule type="cellIs" dxfId="34" priority="3" operator="equal">
      <formula>"RETIRADO"</formula>
    </cfRule>
  </conditionalFormatting>
  <conditionalFormatting sqref="BQ13:BS62">
    <cfRule type="cellIs" dxfId="33" priority="2" operator="equal">
      <formula>"REPROBADO"</formula>
    </cfRule>
  </conditionalFormatting>
  <conditionalFormatting sqref="BR13:BR62">
    <cfRule type="top10" dxfId="32" priority="1" bottom="1" rank="10"/>
  </conditionalFormatting>
  <dataValidations count="6">
    <dataValidation type="decimal" allowBlank="1" showInputMessage="1" showErrorMessage="1" errorTitle="VALOR INCORRECTO" error="Solo se aceptan valores entre 1 y 5." sqref="AY13:BH62 E13:N62">
      <formula1>1</formula1>
      <formula2>5</formula2>
    </dataValidation>
    <dataValidation type="decimal" allowBlank="1" showInputMessage="1" showErrorMessage="1" errorTitle="VALOR INCORRECTO" error="Solo se aceptan valores entre 1 y 40." sqref="AH13:AV62">
      <formula1>1</formula1>
      <formula2>40</formula2>
    </dataValidation>
    <dataValidation type="decimal" allowBlank="1" showErrorMessage="1" errorTitle="VALOR INCORRECTO" error="Solo se aceptan valores entre 1 y 5." sqref="BK13:BK62">
      <formula1>1</formula1>
      <formula2>5</formula2>
    </dataValidation>
    <dataValidation type="decimal" allowBlank="1" showInputMessage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>
    <tabColor rgb="FF92D050"/>
    <pageSetUpPr fitToPage="1"/>
  </sheetPr>
  <dimension ref="A1:IA73"/>
  <sheetViews>
    <sheetView showGridLines="0" showRowColHeaders="0" showZeros="0" zoomScale="85" zoomScaleNormal="85" workbookViewId="0">
      <pane xSplit="4" ySplit="13" topLeftCell="F14" activePane="bottomRight" state="frozen"/>
      <selection activeCell="BF13" sqref="BF13"/>
      <selection pane="topRight" activeCell="BF13" sqref="BF13"/>
      <selection pane="bottomLeft" activeCell="BF13" sqref="BF13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1" width="2.375" style="25" hidden="1" customWidth="1"/>
    <col min="92" max="92" width="1.25" style="25" hidden="1" customWidth="1"/>
    <col min="93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77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10" t="s">
        <v>308</v>
      </c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1"/>
      <c r="AR2" s="611"/>
      <c r="AS2" s="611"/>
      <c r="AT2" s="611"/>
      <c r="AU2" s="611"/>
      <c r="AV2" s="611"/>
      <c r="AW2" s="611"/>
      <c r="AX2" s="611"/>
      <c r="AY2" s="611"/>
      <c r="AZ2" s="611"/>
      <c r="BA2" s="611"/>
      <c r="BB2" s="611"/>
      <c r="BC2" s="611"/>
      <c r="BD2" s="611"/>
      <c r="BE2" s="611"/>
      <c r="BF2" s="611"/>
      <c r="BG2" s="611"/>
      <c r="BH2" s="611"/>
      <c r="BI2" s="611"/>
      <c r="BJ2" s="611"/>
      <c r="BK2" s="611"/>
      <c r="BL2" s="611"/>
      <c r="BM2" s="611"/>
      <c r="BN2" s="611"/>
      <c r="BO2" s="611"/>
      <c r="BP2" s="611"/>
      <c r="BQ2" s="611"/>
      <c r="BR2" s="611"/>
      <c r="BS2" s="611"/>
      <c r="BT2" s="611"/>
      <c r="BU2" s="611"/>
      <c r="BV2" s="611"/>
      <c r="BW2" s="611"/>
      <c r="BX2" s="611"/>
      <c r="BY2" s="611"/>
      <c r="BZ2" s="611"/>
      <c r="CA2" s="611"/>
      <c r="CB2" s="611"/>
      <c r="DM2" s="198"/>
    </row>
    <row r="3" spans="1:233" ht="18" customHeight="1">
      <c r="A3" s="64"/>
      <c r="D3" s="390" t="str">
        <f>IF(FILIACIÓN!C3="","",FILIACIÓN!C3)</f>
        <v xml:space="preserve">TURNO </v>
      </c>
      <c r="E3" s="390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9"/>
      <c r="H4" s="459"/>
      <c r="I4" s="459"/>
      <c r="J4" s="459"/>
      <c r="K4" s="459"/>
      <c r="L4" s="732" t="s">
        <v>310</v>
      </c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2"/>
      <c r="AA4" s="732"/>
      <c r="AB4" s="732"/>
      <c r="AC4" s="732"/>
      <c r="AD4" s="732"/>
      <c r="AE4" s="732"/>
      <c r="AF4" s="732"/>
      <c r="AG4" s="732"/>
      <c r="AH4" s="732"/>
      <c r="AI4" s="732"/>
      <c r="AJ4" s="732"/>
      <c r="AK4" s="732"/>
      <c r="AL4" s="732"/>
      <c r="AM4" s="732"/>
      <c r="AN4" s="732"/>
      <c r="AO4" s="732"/>
      <c r="AP4" s="732"/>
      <c r="AQ4" s="732"/>
      <c r="AR4" s="732"/>
      <c r="AS4" s="732"/>
      <c r="AT4" s="732"/>
      <c r="AU4" s="732"/>
      <c r="AV4" s="732"/>
      <c r="AW4" s="732"/>
      <c r="AX4" s="732"/>
      <c r="AY4" s="732"/>
      <c r="AZ4" s="732"/>
      <c r="BA4" s="732"/>
      <c r="BB4" s="732"/>
      <c r="BC4" s="732"/>
      <c r="BD4" s="732"/>
      <c r="BE4" s="732"/>
      <c r="BF4" s="732"/>
      <c r="BG4" s="732"/>
      <c r="BH4" s="732"/>
      <c r="BI4" s="732"/>
      <c r="BJ4" s="732"/>
      <c r="BK4" s="732"/>
      <c r="BL4" s="732"/>
      <c r="BM4" s="732"/>
      <c r="BN4" s="732"/>
      <c r="BO4" s="732"/>
      <c r="BP4" s="732"/>
      <c r="BQ4" s="732"/>
      <c r="BR4" s="732"/>
      <c r="BS4" s="732"/>
      <c r="BT4" s="732"/>
      <c r="BU4" s="732"/>
      <c r="BV4" s="732"/>
      <c r="BW4" s="732"/>
      <c r="BX4" s="732"/>
      <c r="BY4" s="732"/>
      <c r="BZ4" s="732"/>
      <c r="CA4" s="732"/>
      <c r="CB4" s="732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M5" s="533"/>
      <c r="CO5" s="533"/>
      <c r="CP5" s="533"/>
      <c r="CQ5" s="533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78"/>
      <c r="FD5" s="78"/>
      <c r="FE5" s="78"/>
      <c r="FF5" s="78"/>
      <c r="FG5" s="78"/>
      <c r="FI5" s="78"/>
      <c r="FJ5" s="78"/>
      <c r="FK5" s="78"/>
      <c r="FL5" s="78"/>
      <c r="FM5" s="78"/>
      <c r="FO5" s="78"/>
      <c r="FP5" s="78"/>
      <c r="FQ5" s="78"/>
      <c r="FR5" s="78"/>
      <c r="FS5" s="78"/>
      <c r="FU5" s="78"/>
      <c r="FV5" s="78"/>
      <c r="FW5" s="78"/>
      <c r="FX5" s="78"/>
      <c r="FY5" s="78"/>
      <c r="GA5" s="78"/>
      <c r="GB5" s="78"/>
      <c r="GC5" s="78"/>
      <c r="GD5" s="78"/>
      <c r="GE5" s="78"/>
      <c r="GG5" s="78"/>
      <c r="GH5" s="78"/>
      <c r="GI5" s="78"/>
      <c r="GJ5" s="78"/>
      <c r="GK5" s="78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12" t="s">
        <v>243</v>
      </c>
      <c r="CG6" s="199"/>
      <c r="CH6" s="199"/>
      <c r="CI6" s="199"/>
      <c r="CJ6" s="199"/>
      <c r="CK6" s="533"/>
      <c r="CL6" s="533"/>
      <c r="CM6" s="533"/>
      <c r="CO6" s="533"/>
      <c r="CP6" s="533"/>
      <c r="CQ6" s="533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78"/>
      <c r="FD6" s="78"/>
      <c r="FE6" s="78"/>
      <c r="FF6" s="78"/>
      <c r="FG6" s="78"/>
      <c r="FI6" s="78"/>
      <c r="FJ6" s="78"/>
      <c r="FK6" s="78"/>
      <c r="FL6" s="78"/>
      <c r="FM6" s="78"/>
      <c r="FO6" s="78"/>
      <c r="FP6" s="78"/>
      <c r="FQ6" s="78"/>
      <c r="FR6" s="78"/>
      <c r="FS6" s="78"/>
      <c r="FU6" s="78"/>
      <c r="FV6" s="78"/>
      <c r="FW6" s="78"/>
      <c r="FX6" s="78"/>
      <c r="FY6" s="78"/>
      <c r="GA6" s="78"/>
      <c r="GB6" s="78"/>
      <c r="GC6" s="78"/>
      <c r="GD6" s="78"/>
      <c r="GE6" s="78"/>
      <c r="GG6" s="78"/>
      <c r="GH6" s="78"/>
      <c r="GI6" s="78"/>
      <c r="GJ6" s="78"/>
      <c r="GK6" s="78"/>
    </row>
    <row r="7" spans="1:233" ht="5.25" customHeight="1">
      <c r="A7" s="25"/>
      <c r="B7" s="48"/>
      <c r="C7" s="69"/>
      <c r="D7" s="61"/>
      <c r="E7" s="61"/>
      <c r="F7" s="78"/>
      <c r="V7" s="78"/>
      <c r="W7" s="78"/>
      <c r="X7" s="78"/>
      <c r="Y7" s="78"/>
      <c r="Z7" s="78"/>
      <c r="AA7" s="78"/>
      <c r="AB7" s="78"/>
      <c r="AC7" s="219"/>
      <c r="AD7" s="219"/>
      <c r="AE7" s="219"/>
      <c r="AF7" s="78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1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78"/>
      <c r="FD7" s="78"/>
      <c r="FE7" s="78"/>
      <c r="FF7" s="78"/>
      <c r="FG7" s="78"/>
      <c r="FI7" s="78"/>
      <c r="FJ7" s="78"/>
      <c r="FK7" s="78"/>
      <c r="FL7" s="78"/>
      <c r="FM7" s="78"/>
      <c r="FO7" s="78"/>
      <c r="FP7" s="78"/>
      <c r="FQ7" s="78"/>
      <c r="FR7" s="78"/>
      <c r="FS7" s="78"/>
      <c r="FU7" s="78"/>
      <c r="FV7" s="78"/>
      <c r="FW7" s="78"/>
      <c r="FX7" s="78"/>
      <c r="FY7" s="78"/>
      <c r="GA7" s="78"/>
      <c r="GB7" s="78"/>
      <c r="GC7" s="78"/>
      <c r="GD7" s="78"/>
      <c r="GE7" s="78"/>
      <c r="GG7" s="78"/>
      <c r="GH7" s="78"/>
      <c r="GI7" s="78"/>
      <c r="GJ7" s="78"/>
      <c r="GK7" s="78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78"/>
      <c r="I8" s="78"/>
      <c r="J8" s="78"/>
      <c r="K8" s="78"/>
      <c r="N8" s="69"/>
      <c r="O8" s="48"/>
      <c r="P8" s="69"/>
      <c r="Q8" s="69"/>
      <c r="R8" s="69"/>
      <c r="S8" s="69"/>
      <c r="T8" s="69"/>
      <c r="U8" s="78"/>
      <c r="V8" s="78"/>
      <c r="W8" s="78"/>
      <c r="X8" s="78"/>
      <c r="Y8" s="78"/>
      <c r="Z8" s="78"/>
      <c r="AA8" s="78"/>
      <c r="AB8" s="78"/>
      <c r="AC8" s="219"/>
      <c r="AD8" s="219"/>
      <c r="AE8" s="219"/>
      <c r="AF8" s="78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16" t="s">
        <v>302</v>
      </c>
      <c r="BY8" s="616"/>
      <c r="BZ8" s="616"/>
      <c r="CA8" s="616"/>
      <c r="CB8" s="616"/>
      <c r="CC8" s="315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78"/>
      <c r="I9" s="78"/>
      <c r="J9" s="78"/>
      <c r="K9" s="78"/>
      <c r="N9" s="69"/>
      <c r="O9" s="48"/>
      <c r="P9" s="69"/>
      <c r="Q9" s="69"/>
      <c r="R9" s="69"/>
      <c r="S9" s="69"/>
      <c r="T9" s="69"/>
      <c r="U9" s="78"/>
      <c r="BX9" s="627" t="s">
        <v>281</v>
      </c>
      <c r="BY9" s="628"/>
      <c r="BZ9" s="624" t="s">
        <v>305</v>
      </c>
      <c r="CA9" s="624" t="s">
        <v>306</v>
      </c>
      <c r="CB9" s="632" t="s">
        <v>132</v>
      </c>
      <c r="CC9" s="621" t="s">
        <v>3</v>
      </c>
      <c r="CD9" s="621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02"/>
      <c r="FC9" s="615"/>
      <c r="FD9" s="615"/>
      <c r="FE9" s="615"/>
      <c r="FF9" s="615"/>
      <c r="FG9" s="615"/>
      <c r="FH9" s="615"/>
      <c r="FI9" s="615"/>
      <c r="FJ9" s="615"/>
      <c r="FK9" s="615"/>
      <c r="FL9" s="615"/>
      <c r="FM9" s="615"/>
      <c r="FN9" s="615"/>
      <c r="FO9" s="615"/>
      <c r="FP9" s="615"/>
      <c r="FQ9" s="615"/>
      <c r="FR9" s="615"/>
      <c r="FS9" s="615"/>
      <c r="FT9" s="615"/>
      <c r="FU9" s="615"/>
      <c r="FV9" s="615"/>
      <c r="FW9" s="615"/>
      <c r="FX9" s="615"/>
      <c r="FY9" s="615"/>
      <c r="FZ9" s="615"/>
      <c r="GA9" s="615"/>
      <c r="GB9" s="615"/>
      <c r="GC9" s="615"/>
      <c r="GD9" s="615"/>
      <c r="GE9" s="615"/>
      <c r="GF9" s="615"/>
      <c r="GG9" s="615"/>
      <c r="GH9" s="615"/>
      <c r="GI9" s="615"/>
      <c r="GJ9" s="615"/>
      <c r="GK9" s="615"/>
      <c r="GL9" s="615"/>
      <c r="GM9" s="602"/>
      <c r="GO9" s="615"/>
      <c r="GP9" s="615"/>
      <c r="GQ9" s="615"/>
      <c r="GR9" s="615"/>
      <c r="GS9" s="615"/>
      <c r="GT9" s="615"/>
      <c r="GU9" s="615"/>
      <c r="GV9" s="615"/>
      <c r="GW9" s="615"/>
      <c r="GX9" s="615"/>
      <c r="GY9" s="615"/>
      <c r="GZ9" s="615"/>
      <c r="HA9" s="615"/>
      <c r="HB9" s="615"/>
      <c r="HC9" s="615"/>
      <c r="HD9" s="615"/>
      <c r="HE9" s="615"/>
      <c r="HF9" s="615"/>
      <c r="HG9" s="615"/>
      <c r="HH9" s="615"/>
      <c r="HI9" s="615"/>
      <c r="HJ9" s="615"/>
      <c r="HK9" s="615"/>
      <c r="HL9" s="615"/>
      <c r="HM9" s="615"/>
      <c r="HN9" s="615"/>
      <c r="HO9" s="615"/>
      <c r="HP9" s="615"/>
      <c r="HQ9" s="615"/>
      <c r="HR9" s="615"/>
      <c r="HS9" s="615"/>
      <c r="HT9" s="615"/>
      <c r="HU9" s="615"/>
      <c r="HV9" s="615"/>
      <c r="HW9" s="615"/>
      <c r="HX9" s="615"/>
      <c r="HY9" s="602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35" t="s">
        <v>304</v>
      </c>
      <c r="BY10" s="629" t="s">
        <v>303</v>
      </c>
      <c r="BZ10" s="728"/>
      <c r="CA10" s="728"/>
      <c r="CB10" s="730"/>
      <c r="CC10" s="622"/>
      <c r="CD10" s="622"/>
      <c r="DM10" s="200"/>
      <c r="EZ10" s="602"/>
      <c r="FC10" s="614"/>
      <c r="FD10" s="614"/>
      <c r="FE10" s="614"/>
      <c r="FF10" s="614"/>
      <c r="FG10" s="614"/>
      <c r="FI10" s="614"/>
      <c r="FJ10" s="614"/>
      <c r="FK10" s="614"/>
      <c r="FL10" s="614"/>
      <c r="FM10" s="614"/>
      <c r="FO10" s="614"/>
      <c r="FP10" s="614"/>
      <c r="FQ10" s="614"/>
      <c r="FR10" s="614"/>
      <c r="FS10" s="614"/>
      <c r="FU10" s="614"/>
      <c r="FV10" s="614"/>
      <c r="FW10" s="614"/>
      <c r="FX10" s="614"/>
      <c r="FY10" s="614"/>
      <c r="GA10" s="614"/>
      <c r="GB10" s="614"/>
      <c r="GC10" s="614"/>
      <c r="GD10" s="614"/>
      <c r="GE10" s="614"/>
      <c r="GG10" s="614"/>
      <c r="GH10" s="614"/>
      <c r="GI10" s="614"/>
      <c r="GJ10" s="614"/>
      <c r="GK10" s="614"/>
      <c r="GM10" s="602"/>
      <c r="GO10" s="614"/>
      <c r="GP10" s="614"/>
      <c r="GQ10" s="614"/>
      <c r="GR10" s="614"/>
      <c r="GS10" s="614"/>
      <c r="GT10" s="25"/>
      <c r="GU10" s="614"/>
      <c r="GV10" s="614"/>
      <c r="GW10" s="614"/>
      <c r="GX10" s="614"/>
      <c r="GY10" s="614"/>
      <c r="GZ10" s="25"/>
      <c r="HA10" s="614"/>
      <c r="HB10" s="614"/>
      <c r="HC10" s="614"/>
      <c r="HD10" s="614"/>
      <c r="HE10" s="614"/>
      <c r="HF10" s="25"/>
      <c r="HG10" s="614"/>
      <c r="HH10" s="614"/>
      <c r="HI10" s="614"/>
      <c r="HJ10" s="614"/>
      <c r="HK10" s="614"/>
      <c r="HL10" s="25"/>
      <c r="HM10" s="614"/>
      <c r="HN10" s="614"/>
      <c r="HO10" s="614"/>
      <c r="HP10" s="614"/>
      <c r="HQ10" s="614"/>
      <c r="HR10" s="25"/>
      <c r="HS10" s="614"/>
      <c r="HT10" s="614"/>
      <c r="HU10" s="614"/>
      <c r="HV10" s="614"/>
      <c r="HW10" s="614"/>
      <c r="HX10" s="25"/>
      <c r="HY10" s="602"/>
    </row>
    <row r="11" spans="1:233" ht="18.75" customHeight="1" thickBot="1">
      <c r="B11" s="25"/>
      <c r="C11" s="25"/>
      <c r="D11" s="25"/>
      <c r="E11" s="25"/>
      <c r="F11" s="652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  <c r="AY11" s="653"/>
      <c r="AZ11" s="653"/>
      <c r="BA11" s="653"/>
      <c r="BB11" s="653"/>
      <c r="BC11" s="653"/>
      <c r="BD11" s="653"/>
      <c r="BE11" s="653"/>
      <c r="BF11" s="653"/>
      <c r="BG11" s="653"/>
      <c r="BH11" s="653"/>
      <c r="BI11" s="653"/>
      <c r="BJ11" s="653"/>
      <c r="BK11" s="653"/>
      <c r="BL11" s="653"/>
      <c r="BM11" s="653"/>
      <c r="BN11" s="653"/>
      <c r="BO11" s="653"/>
      <c r="BP11" s="653"/>
      <c r="BQ11" s="653"/>
      <c r="BR11" s="653"/>
      <c r="BS11" s="653"/>
      <c r="BT11" s="653"/>
      <c r="BU11" s="653"/>
      <c r="BV11" s="653"/>
      <c r="BW11" s="654"/>
      <c r="BX11" s="636"/>
      <c r="BY11" s="630"/>
      <c r="BZ11" s="728"/>
      <c r="CA11" s="728"/>
      <c r="CB11" s="730"/>
      <c r="CC11" s="622"/>
      <c r="CD11" s="622"/>
      <c r="DM11" s="200"/>
      <c r="EZ11" s="602"/>
      <c r="FC11" s="614"/>
      <c r="FD11" s="614"/>
      <c r="FE11" s="614"/>
      <c r="FF11" s="614"/>
      <c r="FG11" s="614"/>
      <c r="FI11" s="614"/>
      <c r="FJ11" s="614"/>
      <c r="FK11" s="614"/>
      <c r="FL11" s="614"/>
      <c r="FM11" s="614"/>
      <c r="FO11" s="614"/>
      <c r="FP11" s="614"/>
      <c r="FQ11" s="614"/>
      <c r="FR11" s="614"/>
      <c r="FS11" s="614"/>
      <c r="FU11" s="614"/>
      <c r="FV11" s="614"/>
      <c r="FW11" s="614"/>
      <c r="FX11" s="614"/>
      <c r="FY11" s="614"/>
      <c r="GA11" s="614"/>
      <c r="GB11" s="614"/>
      <c r="GC11" s="614"/>
      <c r="GD11" s="614"/>
      <c r="GE11" s="614"/>
      <c r="GG11" s="614"/>
      <c r="GH11" s="614"/>
      <c r="GI11" s="614"/>
      <c r="GJ11" s="614"/>
      <c r="GK11" s="614"/>
      <c r="GM11" s="602"/>
      <c r="GO11" s="614"/>
      <c r="GP11" s="614"/>
      <c r="GQ11" s="614"/>
      <c r="GR11" s="614"/>
      <c r="GS11" s="614"/>
      <c r="GT11" s="25"/>
      <c r="GU11" s="614"/>
      <c r="GV11" s="614"/>
      <c r="GW11" s="614"/>
      <c r="GX11" s="614"/>
      <c r="GY11" s="614"/>
      <c r="GZ11" s="25"/>
      <c r="HA11" s="614"/>
      <c r="HB11" s="614"/>
      <c r="HC11" s="614"/>
      <c r="HD11" s="614"/>
      <c r="HE11" s="614"/>
      <c r="HF11" s="25"/>
      <c r="HG11" s="614"/>
      <c r="HH11" s="614"/>
      <c r="HI11" s="614"/>
      <c r="HJ11" s="614"/>
      <c r="HK11" s="614"/>
      <c r="HL11" s="25"/>
      <c r="HM11" s="614"/>
      <c r="HN11" s="614"/>
      <c r="HO11" s="614"/>
      <c r="HP11" s="614"/>
      <c r="HQ11" s="614"/>
      <c r="HR11" s="25"/>
      <c r="HS11" s="614"/>
      <c r="HT11" s="614"/>
      <c r="HU11" s="614"/>
      <c r="HV11" s="614"/>
      <c r="HW11" s="614"/>
      <c r="HX11" s="25"/>
      <c r="HY11" s="602"/>
    </row>
    <row r="12" spans="1:233" ht="24" customHeight="1" thickBot="1">
      <c r="A12" s="617"/>
      <c r="B12" s="617"/>
      <c r="C12" s="617"/>
      <c r="D12" s="617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36"/>
      <c r="BY12" s="630"/>
      <c r="BZ12" s="728"/>
      <c r="CA12" s="728"/>
      <c r="CB12" s="730"/>
      <c r="CC12" s="622"/>
      <c r="CD12" s="622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602"/>
      <c r="FC12" s="77"/>
      <c r="FD12" s="77"/>
      <c r="FE12" s="77"/>
      <c r="FF12" s="77"/>
      <c r="FG12" s="77"/>
      <c r="FI12" s="77"/>
      <c r="FJ12" s="77"/>
      <c r="FK12" s="77"/>
      <c r="FL12" s="77"/>
      <c r="FM12" s="77"/>
      <c r="FO12" s="77"/>
      <c r="FP12" s="77"/>
      <c r="FQ12" s="77"/>
      <c r="FR12" s="77"/>
      <c r="FS12" s="77"/>
      <c r="FU12" s="77"/>
      <c r="FV12" s="77"/>
      <c r="FW12" s="77"/>
      <c r="FX12" s="77"/>
      <c r="FY12" s="77"/>
      <c r="GA12" s="77"/>
      <c r="GB12" s="77"/>
      <c r="GC12" s="77"/>
      <c r="GD12" s="77"/>
      <c r="GE12" s="77"/>
      <c r="GG12" s="77"/>
      <c r="GH12" s="77"/>
      <c r="GI12" s="77"/>
      <c r="GJ12" s="77"/>
      <c r="GK12" s="77"/>
      <c r="GM12" s="602"/>
      <c r="GO12" s="77"/>
      <c r="GP12" s="77"/>
      <c r="GQ12" s="77"/>
      <c r="GR12" s="77"/>
      <c r="GS12" s="77"/>
      <c r="GT12" s="25"/>
      <c r="GU12" s="77"/>
      <c r="GV12" s="77"/>
      <c r="GW12" s="77"/>
      <c r="GX12" s="77"/>
      <c r="GY12" s="77"/>
      <c r="GZ12" s="25"/>
      <c r="HA12" s="77"/>
      <c r="HB12" s="77"/>
      <c r="HC12" s="77"/>
      <c r="HD12" s="77"/>
      <c r="HE12" s="77"/>
      <c r="HF12" s="25"/>
      <c r="HG12" s="77"/>
      <c r="HH12" s="77"/>
      <c r="HI12" s="77"/>
      <c r="HJ12" s="77"/>
      <c r="HK12" s="77"/>
      <c r="HL12" s="25"/>
      <c r="HM12" s="77"/>
      <c r="HN12" s="77"/>
      <c r="HO12" s="77"/>
      <c r="HP12" s="77"/>
      <c r="HQ12" s="77"/>
      <c r="HR12" s="25"/>
      <c r="HS12" s="77"/>
      <c r="HT12" s="77"/>
      <c r="HU12" s="77"/>
      <c r="HV12" s="77"/>
      <c r="HW12" s="77"/>
      <c r="HX12" s="25"/>
      <c r="HY12" s="602"/>
    </row>
    <row r="13" spans="1:233" ht="42.75" customHeight="1" thickBot="1">
      <c r="A13" s="453" t="s">
        <v>0</v>
      </c>
      <c r="B13" s="618" t="s">
        <v>200</v>
      </c>
      <c r="C13" s="619"/>
      <c r="D13" s="620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37"/>
      <c r="BY13" s="631"/>
      <c r="BZ13" s="729"/>
      <c r="CA13" s="729"/>
      <c r="CB13" s="731"/>
      <c r="CC13" s="623"/>
      <c r="CD13" s="623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47" t="s">
        <v>254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602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602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602"/>
    </row>
    <row r="14" spans="1:233" ht="21.75" customHeight="1">
      <c r="A14" s="188">
        <f>--SUBTOTAL(2,CN$13:CN14)</f>
        <v>1</v>
      </c>
      <c r="B14" s="641" t="str">
        <f>IF(FILIACIÓN!B11="","",UPPER(FILIACIÓN!B11))</f>
        <v/>
      </c>
      <c r="C14" s="642"/>
      <c r="D14" s="643"/>
      <c r="E14" s="445" t="str">
        <f>IFERROR(CD14,"")</f>
        <v/>
      </c>
      <c r="F14" s="167"/>
      <c r="G14" s="159"/>
      <c r="H14" s="159"/>
      <c r="I14" s="159"/>
      <c r="J14" s="292"/>
      <c r="K14" s="293"/>
      <c r="L14" s="159"/>
      <c r="M14" s="159"/>
      <c r="N14" s="159"/>
      <c r="O14" s="159"/>
      <c r="P14" s="159"/>
      <c r="Q14" s="159"/>
      <c r="R14" s="159"/>
      <c r="S14" s="159"/>
      <c r="T14" s="159"/>
      <c r="U14" s="292"/>
      <c r="V14" s="293"/>
      <c r="W14" s="159"/>
      <c r="X14" s="159"/>
      <c r="Y14" s="159"/>
      <c r="Z14" s="292"/>
      <c r="AA14" s="293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59"/>
      <c r="BG14" s="159"/>
      <c r="BH14" s="159"/>
      <c r="BI14" s="159"/>
      <c r="BJ14" s="159"/>
      <c r="BK14" s="159"/>
      <c r="BL14" s="159"/>
      <c r="BM14" s="159"/>
      <c r="BN14" s="159"/>
      <c r="BO14" s="159"/>
      <c r="BP14" s="159"/>
      <c r="BQ14" s="159"/>
      <c r="BR14" s="159"/>
      <c r="BS14" s="159"/>
      <c r="BT14" s="159"/>
      <c r="BU14" s="159"/>
      <c r="BV14" s="159"/>
      <c r="BW14" s="160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78"/>
      <c r="CF14" s="436"/>
      <c r="CG14" s="437"/>
      <c r="CH14" s="437"/>
      <c r="CI14" s="437"/>
      <c r="CJ14" s="437"/>
      <c r="CK14" s="43"/>
      <c r="CL14" s="43"/>
      <c r="CM14" s="43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77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77"/>
    </row>
    <row r="15" spans="1:233" ht="21.75" customHeight="1">
      <c r="A15" s="189">
        <f>--SUBTOTAL(2,CN$13:CN15)</f>
        <v>2</v>
      </c>
      <c r="B15" s="638" t="str">
        <f>IF(FILIACIÓN!B12="","",UPPER(FILIACIÓN!B12))</f>
        <v/>
      </c>
      <c r="C15" s="639"/>
      <c r="D15" s="640"/>
      <c r="E15" s="446" t="str">
        <f t="shared" ref="E15:E63" si="3">IFERROR(CD15,"")</f>
        <v/>
      </c>
      <c r="F15" s="161"/>
      <c r="G15" s="162"/>
      <c r="H15" s="162"/>
      <c r="I15" s="162"/>
      <c r="J15" s="294"/>
      <c r="K15" s="295"/>
      <c r="L15" s="162"/>
      <c r="M15" s="162"/>
      <c r="N15" s="162"/>
      <c r="O15" s="162"/>
      <c r="P15" s="162"/>
      <c r="Q15" s="162"/>
      <c r="R15" s="162"/>
      <c r="S15" s="162"/>
      <c r="T15" s="162"/>
      <c r="U15" s="294"/>
      <c r="V15" s="295"/>
      <c r="W15" s="162"/>
      <c r="X15" s="162"/>
      <c r="Y15" s="162"/>
      <c r="Z15" s="294"/>
      <c r="AA15" s="295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3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78"/>
      <c r="CF15" s="436"/>
      <c r="CG15" s="437"/>
      <c r="CH15" s="437"/>
      <c r="CI15" s="437"/>
      <c r="CJ15" s="437"/>
      <c r="CK15" s="43"/>
      <c r="CL15" s="43"/>
      <c r="CM15" s="43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77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77"/>
    </row>
    <row r="16" spans="1:233" ht="21.75" customHeight="1">
      <c r="A16" s="189">
        <f>--SUBTOTAL(2,CN$13:CN16)</f>
        <v>3</v>
      </c>
      <c r="B16" s="638" t="str">
        <f>IF(FILIACIÓN!B13="","",UPPER(FILIACIÓN!B13))</f>
        <v/>
      </c>
      <c r="C16" s="639"/>
      <c r="D16" s="640"/>
      <c r="E16" s="446" t="str">
        <f t="shared" si="3"/>
        <v/>
      </c>
      <c r="F16" s="161"/>
      <c r="G16" s="162"/>
      <c r="H16" s="162"/>
      <c r="I16" s="162"/>
      <c r="J16" s="294"/>
      <c r="K16" s="295"/>
      <c r="L16" s="162"/>
      <c r="M16" s="162"/>
      <c r="N16" s="162"/>
      <c r="O16" s="162"/>
      <c r="P16" s="162"/>
      <c r="Q16" s="162"/>
      <c r="R16" s="162"/>
      <c r="S16" s="162"/>
      <c r="T16" s="162"/>
      <c r="U16" s="294"/>
      <c r="V16" s="295"/>
      <c r="W16" s="162"/>
      <c r="X16" s="162"/>
      <c r="Y16" s="162"/>
      <c r="Z16" s="294"/>
      <c r="AA16" s="295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3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78"/>
      <c r="CF16" s="436"/>
      <c r="CG16" s="437"/>
      <c r="CH16" s="437"/>
      <c r="CI16" s="437"/>
      <c r="CJ16" s="437"/>
      <c r="CK16" s="43"/>
      <c r="CL16" s="43"/>
      <c r="CM16" s="43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77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77"/>
    </row>
    <row r="17" spans="1:233" ht="21.75" customHeight="1">
      <c r="A17" s="189">
        <f>--SUBTOTAL(2,CN$13:CN17)</f>
        <v>4</v>
      </c>
      <c r="B17" s="638" t="str">
        <f>IF(FILIACIÓN!B14="","",UPPER(FILIACIÓN!B14))</f>
        <v/>
      </c>
      <c r="C17" s="639"/>
      <c r="D17" s="640"/>
      <c r="E17" s="446" t="str">
        <f t="shared" si="3"/>
        <v/>
      </c>
      <c r="F17" s="161"/>
      <c r="G17" s="162"/>
      <c r="H17" s="162"/>
      <c r="I17" s="162"/>
      <c r="J17" s="294"/>
      <c r="K17" s="295"/>
      <c r="L17" s="162"/>
      <c r="M17" s="162"/>
      <c r="N17" s="162"/>
      <c r="O17" s="162"/>
      <c r="P17" s="162"/>
      <c r="Q17" s="162"/>
      <c r="R17" s="162"/>
      <c r="S17" s="162"/>
      <c r="T17" s="162"/>
      <c r="U17" s="294"/>
      <c r="V17" s="295"/>
      <c r="W17" s="162"/>
      <c r="X17" s="162"/>
      <c r="Y17" s="162"/>
      <c r="Z17" s="294"/>
      <c r="AA17" s="295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3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78"/>
      <c r="CF17" s="436"/>
      <c r="CG17" s="437"/>
      <c r="CH17" s="437"/>
      <c r="CI17" s="437"/>
      <c r="CJ17" s="437"/>
      <c r="CK17" s="43"/>
      <c r="CL17" s="43"/>
      <c r="CM17" s="43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77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77"/>
    </row>
    <row r="18" spans="1:233" ht="21.75" customHeight="1">
      <c r="A18" s="189">
        <f>--SUBTOTAL(2,CN$13:CN18)</f>
        <v>5</v>
      </c>
      <c r="B18" s="638" t="str">
        <f>IF(FILIACIÓN!B15="","",UPPER(FILIACIÓN!B15))</f>
        <v/>
      </c>
      <c r="C18" s="639"/>
      <c r="D18" s="640"/>
      <c r="E18" s="446" t="str">
        <f t="shared" si="3"/>
        <v/>
      </c>
      <c r="F18" s="161"/>
      <c r="G18" s="162"/>
      <c r="H18" s="162"/>
      <c r="I18" s="162"/>
      <c r="J18" s="294"/>
      <c r="K18" s="295"/>
      <c r="L18" s="162"/>
      <c r="M18" s="162"/>
      <c r="N18" s="162"/>
      <c r="O18" s="162"/>
      <c r="P18" s="162"/>
      <c r="Q18" s="162"/>
      <c r="R18" s="162"/>
      <c r="S18" s="162"/>
      <c r="T18" s="162"/>
      <c r="U18" s="294"/>
      <c r="V18" s="295"/>
      <c r="W18" s="162"/>
      <c r="X18" s="162"/>
      <c r="Y18" s="162"/>
      <c r="Z18" s="294"/>
      <c r="AA18" s="295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3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78"/>
      <c r="CF18" s="436"/>
      <c r="CG18" s="437"/>
      <c r="CH18" s="437"/>
      <c r="CI18" s="437"/>
      <c r="CJ18" s="437"/>
      <c r="CK18" s="43"/>
      <c r="CL18" s="43"/>
      <c r="CM18" s="43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77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77"/>
    </row>
    <row r="19" spans="1:233" ht="21.75" customHeight="1">
      <c r="A19" s="189">
        <f>--SUBTOTAL(2,CN$13:CN19)</f>
        <v>6</v>
      </c>
      <c r="B19" s="638" t="str">
        <f>IF(FILIACIÓN!B16="","",UPPER(FILIACIÓN!B16))</f>
        <v/>
      </c>
      <c r="C19" s="639"/>
      <c r="D19" s="640"/>
      <c r="E19" s="446" t="str">
        <f t="shared" si="3"/>
        <v/>
      </c>
      <c r="F19" s="161"/>
      <c r="G19" s="162"/>
      <c r="H19" s="162"/>
      <c r="I19" s="162"/>
      <c r="J19" s="294"/>
      <c r="K19" s="295"/>
      <c r="L19" s="162"/>
      <c r="M19" s="162"/>
      <c r="N19" s="162"/>
      <c r="O19" s="162"/>
      <c r="P19" s="162"/>
      <c r="Q19" s="162"/>
      <c r="R19" s="162"/>
      <c r="S19" s="162"/>
      <c r="T19" s="162"/>
      <c r="U19" s="294"/>
      <c r="V19" s="295"/>
      <c r="W19" s="162"/>
      <c r="X19" s="162"/>
      <c r="Y19" s="162"/>
      <c r="Z19" s="294"/>
      <c r="AA19" s="295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3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78"/>
      <c r="CF19" s="436"/>
      <c r="CG19" s="437"/>
      <c r="CH19" s="437"/>
      <c r="CI19" s="437"/>
      <c r="CJ19" s="437"/>
      <c r="CK19" s="43"/>
      <c r="CL19" s="43"/>
      <c r="CM19" s="43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77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77"/>
    </row>
    <row r="20" spans="1:233" ht="21.75" customHeight="1">
      <c r="A20" s="189">
        <f>--SUBTOTAL(2,CN$13:CN20)</f>
        <v>7</v>
      </c>
      <c r="B20" s="638" t="str">
        <f>IF(FILIACIÓN!B17="","",UPPER(FILIACIÓN!B17))</f>
        <v/>
      </c>
      <c r="C20" s="639"/>
      <c r="D20" s="640"/>
      <c r="E20" s="446" t="str">
        <f t="shared" si="3"/>
        <v/>
      </c>
      <c r="F20" s="161"/>
      <c r="G20" s="162"/>
      <c r="H20" s="162"/>
      <c r="I20" s="162"/>
      <c r="J20" s="294"/>
      <c r="K20" s="295"/>
      <c r="L20" s="162"/>
      <c r="M20" s="162"/>
      <c r="N20" s="162"/>
      <c r="O20" s="162"/>
      <c r="P20" s="162"/>
      <c r="Q20" s="162"/>
      <c r="R20" s="162"/>
      <c r="S20" s="162"/>
      <c r="T20" s="162"/>
      <c r="U20" s="294"/>
      <c r="V20" s="295"/>
      <c r="W20" s="162"/>
      <c r="X20" s="162"/>
      <c r="Y20" s="162"/>
      <c r="Z20" s="294"/>
      <c r="AA20" s="295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3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78"/>
      <c r="CF20" s="436"/>
      <c r="CG20" s="437"/>
      <c r="CH20" s="437"/>
      <c r="CI20" s="437"/>
      <c r="CJ20" s="437"/>
      <c r="CK20" s="43"/>
      <c r="CL20" s="43"/>
      <c r="CM20" s="43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77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77"/>
    </row>
    <row r="21" spans="1:233" ht="21.75" customHeight="1">
      <c r="A21" s="189">
        <f>--SUBTOTAL(2,CN$13:CN21)</f>
        <v>8</v>
      </c>
      <c r="B21" s="638" t="str">
        <f>IF(FILIACIÓN!B18="","",UPPER(FILIACIÓN!B18))</f>
        <v/>
      </c>
      <c r="C21" s="639"/>
      <c r="D21" s="640"/>
      <c r="E21" s="446" t="str">
        <f t="shared" si="3"/>
        <v/>
      </c>
      <c r="F21" s="161"/>
      <c r="G21" s="162"/>
      <c r="H21" s="162"/>
      <c r="I21" s="162"/>
      <c r="J21" s="294"/>
      <c r="K21" s="295"/>
      <c r="L21" s="162"/>
      <c r="M21" s="162"/>
      <c r="N21" s="162"/>
      <c r="O21" s="162"/>
      <c r="P21" s="162"/>
      <c r="Q21" s="162"/>
      <c r="R21" s="162"/>
      <c r="S21" s="162"/>
      <c r="T21" s="162"/>
      <c r="U21" s="294"/>
      <c r="V21" s="295"/>
      <c r="W21" s="162"/>
      <c r="X21" s="162"/>
      <c r="Y21" s="162"/>
      <c r="Z21" s="294"/>
      <c r="AA21" s="295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3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78"/>
      <c r="CF21" s="436"/>
      <c r="CG21" s="437"/>
      <c r="CH21" s="437"/>
      <c r="CI21" s="437"/>
      <c r="CJ21" s="437"/>
      <c r="CK21" s="43"/>
      <c r="CL21" s="43"/>
      <c r="CM21" s="43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77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77"/>
    </row>
    <row r="22" spans="1:233" ht="21.75" customHeight="1">
      <c r="A22" s="189">
        <f>--SUBTOTAL(2,CN$13:CN22)</f>
        <v>9</v>
      </c>
      <c r="B22" s="638" t="str">
        <f>IF(FILIACIÓN!B19="","",UPPER(FILIACIÓN!B19))</f>
        <v/>
      </c>
      <c r="C22" s="639"/>
      <c r="D22" s="640"/>
      <c r="E22" s="446" t="str">
        <f t="shared" si="3"/>
        <v/>
      </c>
      <c r="F22" s="161"/>
      <c r="G22" s="162"/>
      <c r="H22" s="162"/>
      <c r="I22" s="162"/>
      <c r="J22" s="294"/>
      <c r="K22" s="295"/>
      <c r="L22" s="162"/>
      <c r="M22" s="162"/>
      <c r="N22" s="162"/>
      <c r="O22" s="162"/>
      <c r="P22" s="162"/>
      <c r="Q22" s="162"/>
      <c r="R22" s="162"/>
      <c r="S22" s="162"/>
      <c r="T22" s="162"/>
      <c r="U22" s="294"/>
      <c r="V22" s="295"/>
      <c r="W22" s="162"/>
      <c r="X22" s="162"/>
      <c r="Y22" s="162"/>
      <c r="Z22" s="294"/>
      <c r="AA22" s="295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3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78"/>
      <c r="CF22" s="436"/>
      <c r="CG22" s="437"/>
      <c r="CH22" s="437"/>
      <c r="CI22" s="437"/>
      <c r="CJ22" s="437"/>
      <c r="CK22" s="43"/>
      <c r="CL22" s="43"/>
      <c r="CM22" s="43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77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77"/>
    </row>
    <row r="23" spans="1:233" ht="21.75" customHeight="1">
      <c r="A23" s="189">
        <f>--SUBTOTAL(2,CN$13:CN23)</f>
        <v>10</v>
      </c>
      <c r="B23" s="638" t="str">
        <f>IF(FILIACIÓN!B20="","",UPPER(FILIACIÓN!B20))</f>
        <v/>
      </c>
      <c r="C23" s="639"/>
      <c r="D23" s="640"/>
      <c r="E23" s="446" t="str">
        <f t="shared" si="3"/>
        <v/>
      </c>
      <c r="F23" s="161"/>
      <c r="G23" s="162"/>
      <c r="H23" s="162"/>
      <c r="I23" s="162"/>
      <c r="J23" s="294"/>
      <c r="K23" s="295"/>
      <c r="L23" s="162"/>
      <c r="M23" s="162"/>
      <c r="N23" s="162"/>
      <c r="O23" s="162"/>
      <c r="P23" s="162"/>
      <c r="Q23" s="162"/>
      <c r="R23" s="162"/>
      <c r="S23" s="162"/>
      <c r="T23" s="162"/>
      <c r="U23" s="294"/>
      <c r="V23" s="295"/>
      <c r="W23" s="162"/>
      <c r="X23" s="162"/>
      <c r="Y23" s="162"/>
      <c r="Z23" s="294"/>
      <c r="AA23" s="295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3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78"/>
      <c r="CF23" s="436"/>
      <c r="CG23" s="437"/>
      <c r="CH23" s="437"/>
      <c r="CI23" s="437"/>
      <c r="CJ23" s="437"/>
      <c r="CK23" s="43"/>
      <c r="CL23" s="43"/>
      <c r="CM23" s="43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77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77"/>
    </row>
    <row r="24" spans="1:233" ht="21.75" customHeight="1">
      <c r="A24" s="189">
        <f>--SUBTOTAL(2,CN$13:CN24)</f>
        <v>11</v>
      </c>
      <c r="B24" s="638" t="str">
        <f>IF(FILIACIÓN!B21="","",UPPER(FILIACIÓN!B21))</f>
        <v/>
      </c>
      <c r="C24" s="639"/>
      <c r="D24" s="640"/>
      <c r="E24" s="446" t="str">
        <f t="shared" si="3"/>
        <v/>
      </c>
      <c r="F24" s="161"/>
      <c r="G24" s="162"/>
      <c r="H24" s="162"/>
      <c r="I24" s="162"/>
      <c r="J24" s="294"/>
      <c r="K24" s="295"/>
      <c r="L24" s="162"/>
      <c r="M24" s="162"/>
      <c r="N24" s="162"/>
      <c r="O24" s="162"/>
      <c r="P24" s="162"/>
      <c r="Q24" s="162"/>
      <c r="R24" s="162"/>
      <c r="S24" s="162"/>
      <c r="T24" s="162"/>
      <c r="U24" s="294"/>
      <c r="V24" s="295"/>
      <c r="W24" s="162"/>
      <c r="X24" s="162"/>
      <c r="Y24" s="162"/>
      <c r="Z24" s="294"/>
      <c r="AA24" s="295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3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78"/>
      <c r="CF24" s="436"/>
      <c r="CG24" s="437"/>
      <c r="CH24" s="437"/>
      <c r="CI24" s="437"/>
      <c r="CJ24" s="437"/>
      <c r="CK24" s="43"/>
      <c r="CL24" s="43"/>
      <c r="CM24" s="43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77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77"/>
    </row>
    <row r="25" spans="1:233" ht="21.75" customHeight="1">
      <c r="A25" s="189">
        <f>--SUBTOTAL(2,CN$13:CN25)</f>
        <v>12</v>
      </c>
      <c r="B25" s="638" t="str">
        <f>IF(FILIACIÓN!B22="","",UPPER(FILIACIÓN!B22))</f>
        <v/>
      </c>
      <c r="C25" s="639"/>
      <c r="D25" s="640"/>
      <c r="E25" s="446" t="str">
        <f t="shared" si="3"/>
        <v/>
      </c>
      <c r="F25" s="161"/>
      <c r="G25" s="162"/>
      <c r="H25" s="162"/>
      <c r="I25" s="162"/>
      <c r="J25" s="294"/>
      <c r="K25" s="295"/>
      <c r="L25" s="162"/>
      <c r="M25" s="162"/>
      <c r="N25" s="162"/>
      <c r="O25" s="162"/>
      <c r="P25" s="162"/>
      <c r="Q25" s="162"/>
      <c r="R25" s="162"/>
      <c r="S25" s="162"/>
      <c r="T25" s="162"/>
      <c r="U25" s="294"/>
      <c r="V25" s="295"/>
      <c r="W25" s="162"/>
      <c r="X25" s="162"/>
      <c r="Y25" s="162"/>
      <c r="Z25" s="294"/>
      <c r="AA25" s="295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3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78"/>
      <c r="CF25" s="436"/>
      <c r="CG25" s="437"/>
      <c r="CH25" s="437"/>
      <c r="CI25" s="437"/>
      <c r="CJ25" s="437"/>
      <c r="CK25" s="43"/>
      <c r="CL25" s="43"/>
      <c r="CM25" s="43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77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77"/>
    </row>
    <row r="26" spans="1:233" ht="21.75" customHeight="1">
      <c r="A26" s="189">
        <f>--SUBTOTAL(2,CN$13:CN26)</f>
        <v>13</v>
      </c>
      <c r="B26" s="638" t="str">
        <f>IF(FILIACIÓN!B23="","",UPPER(FILIACIÓN!B23))</f>
        <v/>
      </c>
      <c r="C26" s="639"/>
      <c r="D26" s="640"/>
      <c r="E26" s="446" t="str">
        <f t="shared" si="3"/>
        <v/>
      </c>
      <c r="F26" s="161"/>
      <c r="G26" s="162"/>
      <c r="H26" s="162"/>
      <c r="I26" s="162"/>
      <c r="J26" s="294"/>
      <c r="K26" s="295"/>
      <c r="L26" s="162"/>
      <c r="M26" s="162"/>
      <c r="N26" s="162"/>
      <c r="O26" s="162"/>
      <c r="P26" s="162"/>
      <c r="Q26" s="162"/>
      <c r="R26" s="162"/>
      <c r="S26" s="162"/>
      <c r="T26" s="162"/>
      <c r="U26" s="294"/>
      <c r="V26" s="295"/>
      <c r="W26" s="162"/>
      <c r="X26" s="162"/>
      <c r="Y26" s="162"/>
      <c r="Z26" s="294"/>
      <c r="AA26" s="295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3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78"/>
      <c r="CF26" s="436"/>
      <c r="CG26" s="437"/>
      <c r="CH26" s="437"/>
      <c r="CI26" s="437"/>
      <c r="CJ26" s="437"/>
      <c r="CK26" s="43"/>
      <c r="CL26" s="43"/>
      <c r="CM26" s="43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77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77"/>
    </row>
    <row r="27" spans="1:233" ht="21.75" customHeight="1">
      <c r="A27" s="189">
        <f>--SUBTOTAL(2,CN$13:CN27)</f>
        <v>14</v>
      </c>
      <c r="B27" s="638" t="str">
        <f>IF(FILIACIÓN!B24="","",UPPER(FILIACIÓN!B24))</f>
        <v/>
      </c>
      <c r="C27" s="639"/>
      <c r="D27" s="640"/>
      <c r="E27" s="446" t="str">
        <f t="shared" si="3"/>
        <v/>
      </c>
      <c r="F27" s="161"/>
      <c r="G27" s="162"/>
      <c r="H27" s="162"/>
      <c r="I27" s="162"/>
      <c r="J27" s="294"/>
      <c r="K27" s="295"/>
      <c r="L27" s="162"/>
      <c r="M27" s="162"/>
      <c r="N27" s="162"/>
      <c r="O27" s="162"/>
      <c r="P27" s="162"/>
      <c r="Q27" s="162"/>
      <c r="R27" s="162"/>
      <c r="S27" s="162"/>
      <c r="T27" s="162"/>
      <c r="U27" s="294"/>
      <c r="V27" s="295"/>
      <c r="W27" s="162"/>
      <c r="X27" s="162"/>
      <c r="Y27" s="162"/>
      <c r="Z27" s="294"/>
      <c r="AA27" s="295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3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78"/>
      <c r="CF27" s="436"/>
      <c r="CG27" s="437"/>
      <c r="CH27" s="437"/>
      <c r="CI27" s="437"/>
      <c r="CJ27" s="437"/>
      <c r="CK27" s="43"/>
      <c r="CL27" s="43"/>
      <c r="CM27" s="43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77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77"/>
    </row>
    <row r="28" spans="1:233" ht="21.75" customHeight="1">
      <c r="A28" s="189">
        <f>--SUBTOTAL(2,CN$13:CN28)</f>
        <v>15</v>
      </c>
      <c r="B28" s="638" t="str">
        <f>IF(FILIACIÓN!B25="","",UPPER(FILIACIÓN!B25))</f>
        <v/>
      </c>
      <c r="C28" s="639"/>
      <c r="D28" s="640"/>
      <c r="E28" s="446" t="str">
        <f t="shared" si="3"/>
        <v/>
      </c>
      <c r="F28" s="161"/>
      <c r="G28" s="162"/>
      <c r="H28" s="162"/>
      <c r="I28" s="162"/>
      <c r="J28" s="294"/>
      <c r="K28" s="295"/>
      <c r="L28" s="162"/>
      <c r="M28" s="162"/>
      <c r="N28" s="162"/>
      <c r="O28" s="162"/>
      <c r="P28" s="162"/>
      <c r="Q28" s="162"/>
      <c r="R28" s="162"/>
      <c r="S28" s="162"/>
      <c r="T28" s="162"/>
      <c r="U28" s="294"/>
      <c r="V28" s="295"/>
      <c r="W28" s="162"/>
      <c r="X28" s="162"/>
      <c r="Y28" s="162"/>
      <c r="Z28" s="294"/>
      <c r="AA28" s="295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3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78"/>
      <c r="CF28" s="436"/>
      <c r="CG28" s="437"/>
      <c r="CH28" s="437"/>
      <c r="CI28" s="437"/>
      <c r="CJ28" s="437"/>
      <c r="CK28" s="43"/>
      <c r="CL28" s="43"/>
      <c r="CM28" s="43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77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77"/>
    </row>
    <row r="29" spans="1:233" ht="21.75" customHeight="1">
      <c r="A29" s="189">
        <f>--SUBTOTAL(2,CN$13:CN29)</f>
        <v>16</v>
      </c>
      <c r="B29" s="638" t="str">
        <f>IF(FILIACIÓN!B26="","",UPPER(FILIACIÓN!B26))</f>
        <v/>
      </c>
      <c r="C29" s="639"/>
      <c r="D29" s="640"/>
      <c r="E29" s="446" t="str">
        <f t="shared" si="3"/>
        <v/>
      </c>
      <c r="F29" s="161"/>
      <c r="G29" s="162"/>
      <c r="H29" s="162"/>
      <c r="I29" s="162"/>
      <c r="J29" s="294"/>
      <c r="K29" s="295"/>
      <c r="L29" s="162"/>
      <c r="M29" s="162"/>
      <c r="N29" s="162"/>
      <c r="O29" s="162"/>
      <c r="P29" s="162"/>
      <c r="Q29" s="162"/>
      <c r="R29" s="162"/>
      <c r="S29" s="162"/>
      <c r="T29" s="162"/>
      <c r="U29" s="294"/>
      <c r="V29" s="295"/>
      <c r="W29" s="162"/>
      <c r="X29" s="162"/>
      <c r="Y29" s="162"/>
      <c r="Z29" s="294"/>
      <c r="AA29" s="295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3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78"/>
      <c r="CF29" s="436"/>
      <c r="CG29" s="437"/>
      <c r="CH29" s="437"/>
      <c r="CI29" s="437"/>
      <c r="CJ29" s="437"/>
      <c r="CK29" s="43"/>
      <c r="CL29" s="43"/>
      <c r="CM29" s="43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77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77"/>
    </row>
    <row r="30" spans="1:233" ht="21.75" customHeight="1">
      <c r="A30" s="189">
        <f>--SUBTOTAL(2,CN$13:CN30)</f>
        <v>17</v>
      </c>
      <c r="B30" s="638" t="str">
        <f>IF(FILIACIÓN!B27="","",UPPER(FILIACIÓN!B27))</f>
        <v/>
      </c>
      <c r="C30" s="639"/>
      <c r="D30" s="640"/>
      <c r="E30" s="446" t="str">
        <f t="shared" si="3"/>
        <v/>
      </c>
      <c r="F30" s="161"/>
      <c r="G30" s="162"/>
      <c r="H30" s="162"/>
      <c r="I30" s="162"/>
      <c r="J30" s="294"/>
      <c r="K30" s="295"/>
      <c r="L30" s="162"/>
      <c r="M30" s="162"/>
      <c r="N30" s="162"/>
      <c r="O30" s="162"/>
      <c r="P30" s="162"/>
      <c r="Q30" s="162"/>
      <c r="R30" s="162"/>
      <c r="S30" s="162"/>
      <c r="T30" s="162"/>
      <c r="U30" s="294"/>
      <c r="V30" s="295"/>
      <c r="W30" s="162"/>
      <c r="X30" s="162"/>
      <c r="Y30" s="162"/>
      <c r="Z30" s="294"/>
      <c r="AA30" s="295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3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78"/>
      <c r="CF30" s="436"/>
      <c r="CG30" s="437"/>
      <c r="CH30" s="437"/>
      <c r="CI30" s="437"/>
      <c r="CJ30" s="437"/>
      <c r="CK30" s="43"/>
      <c r="CL30" s="43"/>
      <c r="CM30" s="43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77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77"/>
    </row>
    <row r="31" spans="1:233" ht="21.75" customHeight="1">
      <c r="A31" s="189">
        <f>--SUBTOTAL(2,CN$13:CN31)</f>
        <v>18</v>
      </c>
      <c r="B31" s="638" t="str">
        <f>IF(FILIACIÓN!B28="","",UPPER(FILIACIÓN!B28))</f>
        <v/>
      </c>
      <c r="C31" s="639"/>
      <c r="D31" s="640"/>
      <c r="E31" s="446" t="str">
        <f t="shared" si="3"/>
        <v/>
      </c>
      <c r="F31" s="161"/>
      <c r="G31" s="162"/>
      <c r="H31" s="162"/>
      <c r="I31" s="162"/>
      <c r="J31" s="294"/>
      <c r="K31" s="295"/>
      <c r="L31" s="162"/>
      <c r="M31" s="162"/>
      <c r="N31" s="162"/>
      <c r="O31" s="162"/>
      <c r="P31" s="162"/>
      <c r="Q31" s="162"/>
      <c r="R31" s="162"/>
      <c r="S31" s="162"/>
      <c r="T31" s="162"/>
      <c r="U31" s="294"/>
      <c r="V31" s="295"/>
      <c r="W31" s="162"/>
      <c r="X31" s="162"/>
      <c r="Y31" s="162"/>
      <c r="Z31" s="294"/>
      <c r="AA31" s="295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3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78"/>
      <c r="CF31" s="436"/>
      <c r="CG31" s="437"/>
      <c r="CH31" s="437"/>
      <c r="CI31" s="437"/>
      <c r="CJ31" s="437"/>
      <c r="CK31" s="43"/>
      <c r="CL31" s="43"/>
      <c r="CM31" s="43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77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77"/>
    </row>
    <row r="32" spans="1:233" ht="21.75" customHeight="1">
      <c r="A32" s="189">
        <f>--SUBTOTAL(2,CN$13:CN32)</f>
        <v>19</v>
      </c>
      <c r="B32" s="638" t="str">
        <f>IF(FILIACIÓN!B29="","",UPPER(FILIACIÓN!B29))</f>
        <v/>
      </c>
      <c r="C32" s="639"/>
      <c r="D32" s="640"/>
      <c r="E32" s="446" t="str">
        <f t="shared" si="3"/>
        <v/>
      </c>
      <c r="F32" s="161"/>
      <c r="G32" s="162"/>
      <c r="H32" s="162"/>
      <c r="I32" s="162"/>
      <c r="J32" s="294"/>
      <c r="K32" s="295"/>
      <c r="L32" s="162"/>
      <c r="M32" s="162"/>
      <c r="N32" s="162"/>
      <c r="O32" s="162"/>
      <c r="P32" s="162"/>
      <c r="Q32" s="162"/>
      <c r="R32" s="162"/>
      <c r="S32" s="162"/>
      <c r="T32" s="162"/>
      <c r="U32" s="294"/>
      <c r="V32" s="295"/>
      <c r="W32" s="162"/>
      <c r="X32" s="162"/>
      <c r="Y32" s="162"/>
      <c r="Z32" s="294"/>
      <c r="AA32" s="295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3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78"/>
      <c r="CF32" s="436"/>
      <c r="CG32" s="437"/>
      <c r="CH32" s="437"/>
      <c r="CI32" s="437"/>
      <c r="CJ32" s="437"/>
      <c r="CK32" s="43"/>
      <c r="CL32" s="43"/>
      <c r="CM32" s="43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77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77"/>
    </row>
    <row r="33" spans="1:233" ht="21.75" customHeight="1">
      <c r="A33" s="189">
        <f>--SUBTOTAL(2,CN$13:CN33)</f>
        <v>20</v>
      </c>
      <c r="B33" s="638" t="str">
        <f>IF(FILIACIÓN!B30="","",UPPER(FILIACIÓN!B30))</f>
        <v/>
      </c>
      <c r="C33" s="639"/>
      <c r="D33" s="640"/>
      <c r="E33" s="446" t="str">
        <f t="shared" si="3"/>
        <v/>
      </c>
      <c r="F33" s="161"/>
      <c r="G33" s="162"/>
      <c r="H33" s="162"/>
      <c r="I33" s="162"/>
      <c r="J33" s="294"/>
      <c r="K33" s="295"/>
      <c r="L33" s="162"/>
      <c r="M33" s="162"/>
      <c r="N33" s="162"/>
      <c r="O33" s="162"/>
      <c r="P33" s="162"/>
      <c r="Q33" s="162"/>
      <c r="R33" s="162"/>
      <c r="S33" s="162"/>
      <c r="T33" s="162"/>
      <c r="U33" s="294"/>
      <c r="V33" s="295"/>
      <c r="W33" s="162"/>
      <c r="X33" s="162"/>
      <c r="Y33" s="162"/>
      <c r="Z33" s="294"/>
      <c r="AA33" s="295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3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78"/>
      <c r="CF33" s="436"/>
      <c r="CG33" s="437"/>
      <c r="CH33" s="437"/>
      <c r="CI33" s="437"/>
      <c r="CJ33" s="437"/>
      <c r="CK33" s="43"/>
      <c r="CL33" s="43"/>
      <c r="CM33" s="43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77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77"/>
    </row>
    <row r="34" spans="1:233" ht="21.75" customHeight="1">
      <c r="A34" s="189">
        <f>--SUBTOTAL(2,CN$13:CN34)</f>
        <v>21</v>
      </c>
      <c r="B34" s="638" t="str">
        <f>IF(FILIACIÓN!B31="","",UPPER(FILIACIÓN!B31))</f>
        <v/>
      </c>
      <c r="C34" s="639"/>
      <c r="D34" s="640"/>
      <c r="E34" s="446" t="str">
        <f t="shared" si="3"/>
        <v/>
      </c>
      <c r="F34" s="161"/>
      <c r="G34" s="162"/>
      <c r="H34" s="162"/>
      <c r="I34" s="162"/>
      <c r="J34" s="294"/>
      <c r="K34" s="295"/>
      <c r="L34" s="162"/>
      <c r="M34" s="162"/>
      <c r="N34" s="162"/>
      <c r="O34" s="162"/>
      <c r="P34" s="162"/>
      <c r="Q34" s="162"/>
      <c r="R34" s="162"/>
      <c r="S34" s="162"/>
      <c r="T34" s="162"/>
      <c r="U34" s="294"/>
      <c r="V34" s="295"/>
      <c r="W34" s="162"/>
      <c r="X34" s="162"/>
      <c r="Y34" s="162"/>
      <c r="Z34" s="294"/>
      <c r="AA34" s="295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3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78"/>
      <c r="CF34" s="436"/>
      <c r="CG34" s="437"/>
      <c r="CH34" s="437"/>
      <c r="CI34" s="437"/>
      <c r="CJ34" s="437"/>
      <c r="CK34" s="43"/>
      <c r="CL34" s="43"/>
      <c r="CM34" s="43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77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77"/>
    </row>
    <row r="35" spans="1:233" ht="21.75" customHeight="1">
      <c r="A35" s="189">
        <f>--SUBTOTAL(2,CN$13:CN35)</f>
        <v>22</v>
      </c>
      <c r="B35" s="638" t="str">
        <f>IF(FILIACIÓN!B32="","",UPPER(FILIACIÓN!B32))</f>
        <v/>
      </c>
      <c r="C35" s="639"/>
      <c r="D35" s="640"/>
      <c r="E35" s="446" t="str">
        <f t="shared" si="3"/>
        <v/>
      </c>
      <c r="F35" s="161"/>
      <c r="G35" s="162"/>
      <c r="H35" s="162"/>
      <c r="I35" s="162"/>
      <c r="J35" s="294"/>
      <c r="K35" s="295"/>
      <c r="L35" s="162"/>
      <c r="M35" s="162"/>
      <c r="N35" s="162"/>
      <c r="O35" s="162"/>
      <c r="P35" s="162"/>
      <c r="Q35" s="162"/>
      <c r="R35" s="162"/>
      <c r="S35" s="162"/>
      <c r="T35" s="162"/>
      <c r="U35" s="294"/>
      <c r="V35" s="295"/>
      <c r="W35" s="162"/>
      <c r="X35" s="162"/>
      <c r="Y35" s="162"/>
      <c r="Z35" s="294"/>
      <c r="AA35" s="295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3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78"/>
      <c r="CF35" s="436"/>
      <c r="CG35" s="437"/>
      <c r="CH35" s="437"/>
      <c r="CI35" s="437"/>
      <c r="CJ35" s="437"/>
      <c r="CK35" s="43"/>
      <c r="CL35" s="43"/>
      <c r="CM35" s="43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77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77"/>
    </row>
    <row r="36" spans="1:233" ht="21.75" customHeight="1">
      <c r="A36" s="189">
        <f>--SUBTOTAL(2,CN$13:CN36)</f>
        <v>23</v>
      </c>
      <c r="B36" s="638" t="str">
        <f>IF(FILIACIÓN!B33="","",UPPER(FILIACIÓN!B33))</f>
        <v/>
      </c>
      <c r="C36" s="639"/>
      <c r="D36" s="640"/>
      <c r="E36" s="446" t="str">
        <f t="shared" si="3"/>
        <v/>
      </c>
      <c r="F36" s="161"/>
      <c r="G36" s="162"/>
      <c r="H36" s="162"/>
      <c r="I36" s="162"/>
      <c r="J36" s="294"/>
      <c r="K36" s="295"/>
      <c r="L36" s="162"/>
      <c r="M36" s="162"/>
      <c r="N36" s="162"/>
      <c r="O36" s="162"/>
      <c r="P36" s="162"/>
      <c r="Q36" s="162"/>
      <c r="R36" s="162"/>
      <c r="S36" s="162"/>
      <c r="T36" s="162"/>
      <c r="U36" s="294"/>
      <c r="V36" s="295"/>
      <c r="W36" s="162"/>
      <c r="X36" s="162"/>
      <c r="Y36" s="162"/>
      <c r="Z36" s="294"/>
      <c r="AA36" s="295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3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78"/>
      <c r="CF36" s="436"/>
      <c r="CG36" s="437"/>
      <c r="CH36" s="437"/>
      <c r="CI36" s="437"/>
      <c r="CJ36" s="437"/>
      <c r="CK36" s="43"/>
      <c r="CL36" s="43"/>
      <c r="CM36" s="43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77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77"/>
    </row>
    <row r="37" spans="1:233" ht="21.75" customHeight="1">
      <c r="A37" s="189">
        <f>--SUBTOTAL(2,CN$13:CN37)</f>
        <v>24</v>
      </c>
      <c r="B37" s="638" t="str">
        <f>IF(FILIACIÓN!B34="","",UPPER(FILIACIÓN!B34))</f>
        <v/>
      </c>
      <c r="C37" s="639"/>
      <c r="D37" s="640"/>
      <c r="E37" s="446" t="str">
        <f t="shared" si="3"/>
        <v/>
      </c>
      <c r="F37" s="161"/>
      <c r="G37" s="162"/>
      <c r="H37" s="162"/>
      <c r="I37" s="162"/>
      <c r="J37" s="294"/>
      <c r="K37" s="295"/>
      <c r="L37" s="162"/>
      <c r="M37" s="162"/>
      <c r="N37" s="162"/>
      <c r="O37" s="162"/>
      <c r="P37" s="162"/>
      <c r="Q37" s="162"/>
      <c r="R37" s="162"/>
      <c r="S37" s="162"/>
      <c r="T37" s="162"/>
      <c r="U37" s="294"/>
      <c r="V37" s="295"/>
      <c r="W37" s="162"/>
      <c r="X37" s="162"/>
      <c r="Y37" s="162"/>
      <c r="Z37" s="294"/>
      <c r="AA37" s="295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3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78"/>
      <c r="CF37" s="436"/>
      <c r="CG37" s="437"/>
      <c r="CH37" s="437"/>
      <c r="CI37" s="437"/>
      <c r="CJ37" s="437"/>
      <c r="CK37" s="43"/>
      <c r="CL37" s="43"/>
      <c r="CM37" s="43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77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77"/>
    </row>
    <row r="38" spans="1:233" ht="21.75" customHeight="1">
      <c r="A38" s="189">
        <f>--SUBTOTAL(2,CN$13:CN38)</f>
        <v>25</v>
      </c>
      <c r="B38" s="638" t="str">
        <f>IF(FILIACIÓN!B35="","",UPPER(FILIACIÓN!B35))</f>
        <v/>
      </c>
      <c r="C38" s="639"/>
      <c r="D38" s="640"/>
      <c r="E38" s="446" t="str">
        <f t="shared" si="3"/>
        <v/>
      </c>
      <c r="F38" s="161"/>
      <c r="G38" s="162"/>
      <c r="H38" s="162"/>
      <c r="I38" s="162"/>
      <c r="J38" s="294"/>
      <c r="K38" s="295"/>
      <c r="L38" s="162"/>
      <c r="M38" s="162"/>
      <c r="N38" s="162"/>
      <c r="O38" s="162"/>
      <c r="P38" s="162"/>
      <c r="Q38" s="162"/>
      <c r="R38" s="162"/>
      <c r="S38" s="162"/>
      <c r="T38" s="162"/>
      <c r="U38" s="294"/>
      <c r="V38" s="295"/>
      <c r="W38" s="162"/>
      <c r="X38" s="162"/>
      <c r="Y38" s="162"/>
      <c r="Z38" s="294"/>
      <c r="AA38" s="295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3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78"/>
      <c r="CF38" s="436"/>
      <c r="CG38" s="437"/>
      <c r="CH38" s="437"/>
      <c r="CI38" s="437"/>
      <c r="CJ38" s="437"/>
      <c r="CK38" s="43"/>
      <c r="CL38" s="43"/>
      <c r="CM38" s="43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77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77"/>
    </row>
    <row r="39" spans="1:233" ht="21.75" customHeight="1">
      <c r="A39" s="189">
        <f>--SUBTOTAL(2,CN$13:CN39)</f>
        <v>26</v>
      </c>
      <c r="B39" s="638" t="str">
        <f>IF(FILIACIÓN!B36="","",UPPER(FILIACIÓN!B36))</f>
        <v/>
      </c>
      <c r="C39" s="639"/>
      <c r="D39" s="640"/>
      <c r="E39" s="446" t="str">
        <f t="shared" si="3"/>
        <v/>
      </c>
      <c r="F39" s="161"/>
      <c r="G39" s="162"/>
      <c r="H39" s="162"/>
      <c r="I39" s="162"/>
      <c r="J39" s="294"/>
      <c r="K39" s="295"/>
      <c r="L39" s="162"/>
      <c r="M39" s="162"/>
      <c r="N39" s="162"/>
      <c r="O39" s="162"/>
      <c r="P39" s="162"/>
      <c r="Q39" s="162"/>
      <c r="R39" s="162"/>
      <c r="S39" s="162"/>
      <c r="T39" s="162"/>
      <c r="U39" s="294"/>
      <c r="V39" s="295"/>
      <c r="W39" s="162"/>
      <c r="X39" s="162"/>
      <c r="Y39" s="162"/>
      <c r="Z39" s="294"/>
      <c r="AA39" s="295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3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78"/>
      <c r="CF39" s="436"/>
      <c r="CG39" s="437"/>
      <c r="CH39" s="437"/>
      <c r="CI39" s="437"/>
      <c r="CJ39" s="437"/>
      <c r="CK39" s="43"/>
      <c r="CL39" s="43"/>
      <c r="CM39" s="43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77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77"/>
    </row>
    <row r="40" spans="1:233" ht="21.75" customHeight="1">
      <c r="A40" s="189">
        <f>--SUBTOTAL(2,CN$13:CN40)</f>
        <v>27</v>
      </c>
      <c r="B40" s="638" t="str">
        <f>IF(FILIACIÓN!B37="","",UPPER(FILIACIÓN!B37))</f>
        <v/>
      </c>
      <c r="C40" s="639"/>
      <c r="D40" s="640"/>
      <c r="E40" s="446" t="str">
        <f t="shared" si="3"/>
        <v/>
      </c>
      <c r="F40" s="161"/>
      <c r="G40" s="162"/>
      <c r="H40" s="162"/>
      <c r="I40" s="162"/>
      <c r="J40" s="294"/>
      <c r="K40" s="295"/>
      <c r="L40" s="162"/>
      <c r="M40" s="162"/>
      <c r="N40" s="162"/>
      <c r="O40" s="162"/>
      <c r="P40" s="162"/>
      <c r="Q40" s="162"/>
      <c r="R40" s="162"/>
      <c r="S40" s="162"/>
      <c r="T40" s="162"/>
      <c r="U40" s="294"/>
      <c r="V40" s="295"/>
      <c r="W40" s="162"/>
      <c r="X40" s="162"/>
      <c r="Y40" s="162"/>
      <c r="Z40" s="294"/>
      <c r="AA40" s="295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3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78"/>
      <c r="CF40" s="436"/>
      <c r="CG40" s="437"/>
      <c r="CH40" s="437"/>
      <c r="CI40" s="437"/>
      <c r="CJ40" s="437"/>
      <c r="CK40" s="43"/>
      <c r="CL40" s="43"/>
      <c r="CM40" s="43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77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77"/>
    </row>
    <row r="41" spans="1:233" ht="21.75" customHeight="1">
      <c r="A41" s="189">
        <f>--SUBTOTAL(2,CN$13:CN41)</f>
        <v>28</v>
      </c>
      <c r="B41" s="638" t="str">
        <f>IF(FILIACIÓN!B38="","",UPPER(FILIACIÓN!B38))</f>
        <v/>
      </c>
      <c r="C41" s="639"/>
      <c r="D41" s="640"/>
      <c r="E41" s="446" t="str">
        <f t="shared" si="3"/>
        <v/>
      </c>
      <c r="F41" s="161"/>
      <c r="G41" s="162"/>
      <c r="H41" s="162"/>
      <c r="I41" s="162"/>
      <c r="J41" s="294"/>
      <c r="K41" s="295"/>
      <c r="L41" s="162"/>
      <c r="M41" s="162"/>
      <c r="N41" s="162"/>
      <c r="O41" s="162"/>
      <c r="P41" s="162"/>
      <c r="Q41" s="162"/>
      <c r="R41" s="162"/>
      <c r="S41" s="162"/>
      <c r="T41" s="162"/>
      <c r="U41" s="294"/>
      <c r="V41" s="295"/>
      <c r="W41" s="162"/>
      <c r="X41" s="162"/>
      <c r="Y41" s="162"/>
      <c r="Z41" s="294"/>
      <c r="AA41" s="295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3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78"/>
      <c r="CF41" s="436"/>
      <c r="CG41" s="437"/>
      <c r="CH41" s="437"/>
      <c r="CI41" s="437"/>
      <c r="CJ41" s="437"/>
      <c r="CK41" s="43"/>
      <c r="CL41" s="43"/>
      <c r="CM41" s="43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77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77"/>
    </row>
    <row r="42" spans="1:233" ht="21.75" customHeight="1">
      <c r="A42" s="189">
        <f>--SUBTOTAL(2,CN$13:CN42)</f>
        <v>29</v>
      </c>
      <c r="B42" s="638" t="str">
        <f>IF(FILIACIÓN!B39="","",UPPER(FILIACIÓN!B39))</f>
        <v/>
      </c>
      <c r="C42" s="639"/>
      <c r="D42" s="640"/>
      <c r="E42" s="446" t="str">
        <f t="shared" si="3"/>
        <v/>
      </c>
      <c r="F42" s="161"/>
      <c r="G42" s="162"/>
      <c r="H42" s="162"/>
      <c r="I42" s="162"/>
      <c r="J42" s="294"/>
      <c r="K42" s="295"/>
      <c r="L42" s="162"/>
      <c r="M42" s="162"/>
      <c r="N42" s="162"/>
      <c r="O42" s="162"/>
      <c r="P42" s="162"/>
      <c r="Q42" s="162"/>
      <c r="R42" s="162"/>
      <c r="S42" s="162"/>
      <c r="T42" s="162"/>
      <c r="U42" s="294"/>
      <c r="V42" s="295"/>
      <c r="W42" s="162"/>
      <c r="X42" s="162"/>
      <c r="Y42" s="162"/>
      <c r="Z42" s="294"/>
      <c r="AA42" s="295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3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78"/>
      <c r="CF42" s="436"/>
      <c r="CG42" s="437"/>
      <c r="CH42" s="437"/>
      <c r="CI42" s="437"/>
      <c r="CJ42" s="437"/>
      <c r="CK42" s="43"/>
      <c r="CL42" s="43"/>
      <c r="CM42" s="43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77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77"/>
    </row>
    <row r="43" spans="1:233" ht="21.75" customHeight="1">
      <c r="A43" s="189">
        <f>--SUBTOTAL(2,CN$13:CN43)</f>
        <v>30</v>
      </c>
      <c r="B43" s="638" t="str">
        <f>IF(FILIACIÓN!B40="","",UPPER(FILIACIÓN!B40))</f>
        <v/>
      </c>
      <c r="C43" s="639"/>
      <c r="D43" s="640"/>
      <c r="E43" s="446" t="str">
        <f t="shared" si="3"/>
        <v/>
      </c>
      <c r="F43" s="161"/>
      <c r="G43" s="162"/>
      <c r="H43" s="162"/>
      <c r="I43" s="162"/>
      <c r="J43" s="294"/>
      <c r="K43" s="295"/>
      <c r="L43" s="162"/>
      <c r="M43" s="162"/>
      <c r="N43" s="162"/>
      <c r="O43" s="162"/>
      <c r="P43" s="162"/>
      <c r="Q43" s="162"/>
      <c r="R43" s="162"/>
      <c r="S43" s="162"/>
      <c r="T43" s="162"/>
      <c r="U43" s="294"/>
      <c r="V43" s="295"/>
      <c r="W43" s="162"/>
      <c r="X43" s="162"/>
      <c r="Y43" s="162"/>
      <c r="Z43" s="294"/>
      <c r="AA43" s="295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3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78"/>
      <c r="CF43" s="436"/>
      <c r="CG43" s="437"/>
      <c r="CH43" s="437"/>
      <c r="CI43" s="437"/>
      <c r="CJ43" s="437"/>
      <c r="CK43" s="43"/>
      <c r="CL43" s="43"/>
      <c r="CM43" s="43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77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77"/>
    </row>
    <row r="44" spans="1:233" ht="21.75" hidden="1" customHeight="1">
      <c r="A44" s="189">
        <f>--SUBTOTAL(2,CN$13:CN44)</f>
        <v>31</v>
      </c>
      <c r="B44" s="638" t="str">
        <f>IF(FILIACIÓN!B41="","",UPPER(FILIACIÓN!B41))</f>
        <v/>
      </c>
      <c r="C44" s="639"/>
      <c r="D44" s="640"/>
      <c r="E44" s="446" t="str">
        <f t="shared" si="3"/>
        <v/>
      </c>
      <c r="F44" s="161"/>
      <c r="G44" s="162"/>
      <c r="H44" s="162"/>
      <c r="I44" s="162"/>
      <c r="J44" s="294"/>
      <c r="K44" s="295"/>
      <c r="L44" s="162"/>
      <c r="M44" s="162"/>
      <c r="N44" s="162"/>
      <c r="O44" s="162"/>
      <c r="P44" s="162"/>
      <c r="Q44" s="162"/>
      <c r="R44" s="162"/>
      <c r="S44" s="162"/>
      <c r="T44" s="162"/>
      <c r="U44" s="294"/>
      <c r="V44" s="295"/>
      <c r="W44" s="162"/>
      <c r="X44" s="162"/>
      <c r="Y44" s="162"/>
      <c r="Z44" s="294"/>
      <c r="AA44" s="295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3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78"/>
      <c r="CF44" s="436"/>
      <c r="CG44" s="437"/>
      <c r="CH44" s="437"/>
      <c r="CI44" s="437"/>
      <c r="CJ44" s="437"/>
      <c r="CK44" s="43"/>
      <c r="CL44" s="43"/>
      <c r="CM44" s="43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77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77"/>
    </row>
    <row r="45" spans="1:233" ht="21.75" hidden="1" customHeight="1">
      <c r="A45" s="189">
        <f>--SUBTOTAL(2,CN$13:CN45)</f>
        <v>32</v>
      </c>
      <c r="B45" s="638" t="str">
        <f>IF(FILIACIÓN!B42="","",UPPER(FILIACIÓN!B42))</f>
        <v/>
      </c>
      <c r="C45" s="639"/>
      <c r="D45" s="640"/>
      <c r="E45" s="446" t="str">
        <f t="shared" si="3"/>
        <v/>
      </c>
      <c r="F45" s="161"/>
      <c r="G45" s="162"/>
      <c r="H45" s="162"/>
      <c r="I45" s="162"/>
      <c r="J45" s="294"/>
      <c r="K45" s="295"/>
      <c r="L45" s="162"/>
      <c r="M45" s="162"/>
      <c r="N45" s="162"/>
      <c r="O45" s="162"/>
      <c r="P45" s="162"/>
      <c r="Q45" s="162"/>
      <c r="R45" s="162"/>
      <c r="S45" s="162"/>
      <c r="T45" s="162"/>
      <c r="U45" s="294"/>
      <c r="V45" s="295"/>
      <c r="W45" s="162"/>
      <c r="X45" s="162"/>
      <c r="Y45" s="162"/>
      <c r="Z45" s="294"/>
      <c r="AA45" s="295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3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78"/>
      <c r="CF45" s="436"/>
      <c r="CG45" s="437"/>
      <c r="CH45" s="437"/>
      <c r="CI45" s="437"/>
      <c r="CJ45" s="437"/>
      <c r="CK45" s="43"/>
      <c r="CL45" s="43"/>
      <c r="CM45" s="43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77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77"/>
    </row>
    <row r="46" spans="1:233" ht="21.75" hidden="1" customHeight="1">
      <c r="A46" s="189">
        <f>--SUBTOTAL(2,CN$13:CN46)</f>
        <v>33</v>
      </c>
      <c r="B46" s="638" t="str">
        <f>IF(FILIACIÓN!B43="","",UPPER(FILIACIÓN!B43))</f>
        <v/>
      </c>
      <c r="C46" s="639"/>
      <c r="D46" s="640"/>
      <c r="E46" s="446" t="str">
        <f t="shared" si="3"/>
        <v/>
      </c>
      <c r="F46" s="161"/>
      <c r="G46" s="162"/>
      <c r="H46" s="162"/>
      <c r="I46" s="162"/>
      <c r="J46" s="294"/>
      <c r="K46" s="295"/>
      <c r="L46" s="162"/>
      <c r="M46" s="162"/>
      <c r="N46" s="162"/>
      <c r="O46" s="162"/>
      <c r="P46" s="162"/>
      <c r="Q46" s="162"/>
      <c r="R46" s="162"/>
      <c r="S46" s="162"/>
      <c r="T46" s="162"/>
      <c r="U46" s="294"/>
      <c r="V46" s="295"/>
      <c r="W46" s="162"/>
      <c r="X46" s="162"/>
      <c r="Y46" s="162"/>
      <c r="Z46" s="294"/>
      <c r="AA46" s="295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3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78"/>
      <c r="CF46" s="436"/>
      <c r="CG46" s="437"/>
      <c r="CH46" s="437"/>
      <c r="CI46" s="437"/>
      <c r="CJ46" s="437"/>
      <c r="CK46" s="43"/>
      <c r="CL46" s="43"/>
      <c r="CM46" s="43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77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77"/>
    </row>
    <row r="47" spans="1:233" ht="21.75" hidden="1" customHeight="1">
      <c r="A47" s="189">
        <f>--SUBTOTAL(2,CN$13:CN47)</f>
        <v>34</v>
      </c>
      <c r="B47" s="638" t="str">
        <f>IF(FILIACIÓN!B44="","",UPPER(FILIACIÓN!B44))</f>
        <v/>
      </c>
      <c r="C47" s="639"/>
      <c r="D47" s="640"/>
      <c r="E47" s="446" t="str">
        <f t="shared" si="3"/>
        <v/>
      </c>
      <c r="F47" s="161"/>
      <c r="G47" s="162"/>
      <c r="H47" s="162"/>
      <c r="I47" s="162"/>
      <c r="J47" s="294"/>
      <c r="K47" s="295"/>
      <c r="L47" s="162"/>
      <c r="M47" s="162"/>
      <c r="N47" s="162"/>
      <c r="O47" s="162"/>
      <c r="P47" s="162"/>
      <c r="Q47" s="162"/>
      <c r="R47" s="162"/>
      <c r="S47" s="162"/>
      <c r="T47" s="162"/>
      <c r="U47" s="294"/>
      <c r="V47" s="295"/>
      <c r="W47" s="162"/>
      <c r="X47" s="162"/>
      <c r="Y47" s="162"/>
      <c r="Z47" s="294"/>
      <c r="AA47" s="295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3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78"/>
      <c r="CF47" s="436"/>
      <c r="CG47" s="437"/>
      <c r="CH47" s="437"/>
      <c r="CI47" s="437"/>
      <c r="CJ47" s="437"/>
      <c r="CK47" s="43"/>
      <c r="CL47" s="43"/>
      <c r="CM47" s="43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77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77"/>
    </row>
    <row r="48" spans="1:233" ht="21.75" hidden="1" customHeight="1">
      <c r="A48" s="189">
        <f>--SUBTOTAL(2,CN$13:CN48)</f>
        <v>35</v>
      </c>
      <c r="B48" s="638" t="str">
        <f>IF(FILIACIÓN!B45="","",UPPER(FILIACIÓN!B45))</f>
        <v/>
      </c>
      <c r="C48" s="639"/>
      <c r="D48" s="640"/>
      <c r="E48" s="446" t="str">
        <f t="shared" si="3"/>
        <v/>
      </c>
      <c r="F48" s="161"/>
      <c r="G48" s="162"/>
      <c r="H48" s="162"/>
      <c r="I48" s="162"/>
      <c r="J48" s="294"/>
      <c r="K48" s="295"/>
      <c r="L48" s="162"/>
      <c r="M48" s="162"/>
      <c r="N48" s="162"/>
      <c r="O48" s="162"/>
      <c r="P48" s="162"/>
      <c r="Q48" s="162"/>
      <c r="R48" s="162"/>
      <c r="S48" s="162"/>
      <c r="T48" s="162"/>
      <c r="U48" s="294"/>
      <c r="V48" s="295"/>
      <c r="W48" s="162"/>
      <c r="X48" s="162"/>
      <c r="Y48" s="162"/>
      <c r="Z48" s="294"/>
      <c r="AA48" s="295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3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78"/>
      <c r="CF48" s="436"/>
      <c r="CG48" s="437"/>
      <c r="CH48" s="437"/>
      <c r="CI48" s="437"/>
      <c r="CJ48" s="437"/>
      <c r="CK48" s="43"/>
      <c r="CL48" s="43"/>
      <c r="CM48" s="43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77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77"/>
    </row>
    <row r="49" spans="1:233" ht="21.75" hidden="1" customHeight="1">
      <c r="A49" s="189">
        <f>--SUBTOTAL(2,CN$13:CN49)</f>
        <v>36</v>
      </c>
      <c r="B49" s="638" t="str">
        <f>IF(FILIACIÓN!B46="","",UPPER(FILIACIÓN!B46))</f>
        <v/>
      </c>
      <c r="C49" s="639"/>
      <c r="D49" s="640"/>
      <c r="E49" s="446" t="str">
        <f t="shared" si="3"/>
        <v/>
      </c>
      <c r="F49" s="161"/>
      <c r="G49" s="162"/>
      <c r="H49" s="162"/>
      <c r="I49" s="162"/>
      <c r="J49" s="294"/>
      <c r="K49" s="295"/>
      <c r="L49" s="162"/>
      <c r="M49" s="162"/>
      <c r="N49" s="162"/>
      <c r="O49" s="162"/>
      <c r="P49" s="162"/>
      <c r="Q49" s="162"/>
      <c r="R49" s="162"/>
      <c r="S49" s="162"/>
      <c r="T49" s="162"/>
      <c r="U49" s="294"/>
      <c r="V49" s="295"/>
      <c r="W49" s="162"/>
      <c r="X49" s="162"/>
      <c r="Y49" s="162"/>
      <c r="Z49" s="294"/>
      <c r="AA49" s="295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3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78"/>
      <c r="CF49" s="436"/>
      <c r="CG49" s="437"/>
      <c r="CH49" s="437"/>
      <c r="CI49" s="437"/>
      <c r="CJ49" s="437"/>
      <c r="CK49" s="43"/>
      <c r="CL49" s="43"/>
      <c r="CM49" s="43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77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77"/>
    </row>
    <row r="50" spans="1:233" ht="21.75" hidden="1" customHeight="1">
      <c r="A50" s="189">
        <f>--SUBTOTAL(2,CN$13:CN50)</f>
        <v>37</v>
      </c>
      <c r="B50" s="638" t="str">
        <f>IF(FILIACIÓN!B47="","",UPPER(FILIACIÓN!B47))</f>
        <v/>
      </c>
      <c r="C50" s="639"/>
      <c r="D50" s="640"/>
      <c r="E50" s="446" t="str">
        <f t="shared" si="3"/>
        <v/>
      </c>
      <c r="F50" s="161"/>
      <c r="G50" s="162"/>
      <c r="H50" s="162"/>
      <c r="I50" s="162"/>
      <c r="J50" s="294"/>
      <c r="K50" s="295"/>
      <c r="L50" s="162"/>
      <c r="M50" s="162"/>
      <c r="N50" s="162"/>
      <c r="O50" s="162"/>
      <c r="P50" s="162"/>
      <c r="Q50" s="162"/>
      <c r="R50" s="162"/>
      <c r="S50" s="162"/>
      <c r="T50" s="162"/>
      <c r="U50" s="294"/>
      <c r="V50" s="295"/>
      <c r="W50" s="162"/>
      <c r="X50" s="162"/>
      <c r="Y50" s="162"/>
      <c r="Z50" s="294"/>
      <c r="AA50" s="295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3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78"/>
      <c r="CF50" s="436"/>
      <c r="CG50" s="437"/>
      <c r="CH50" s="437"/>
      <c r="CI50" s="437"/>
      <c r="CJ50" s="437"/>
      <c r="CK50" s="43"/>
      <c r="CL50" s="43"/>
      <c r="CM50" s="43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77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77"/>
    </row>
    <row r="51" spans="1:233" ht="21.75" hidden="1" customHeight="1">
      <c r="A51" s="189">
        <f>--SUBTOTAL(2,CN$13:CN51)</f>
        <v>38</v>
      </c>
      <c r="B51" s="638" t="str">
        <f>IF(FILIACIÓN!B48="","",UPPER(FILIACIÓN!B48))</f>
        <v/>
      </c>
      <c r="C51" s="639"/>
      <c r="D51" s="640"/>
      <c r="E51" s="446" t="str">
        <f t="shared" si="3"/>
        <v/>
      </c>
      <c r="F51" s="161"/>
      <c r="G51" s="162"/>
      <c r="H51" s="162"/>
      <c r="I51" s="162"/>
      <c r="J51" s="294"/>
      <c r="K51" s="295"/>
      <c r="L51" s="162"/>
      <c r="M51" s="162"/>
      <c r="N51" s="162"/>
      <c r="O51" s="162"/>
      <c r="P51" s="162"/>
      <c r="Q51" s="162"/>
      <c r="R51" s="162"/>
      <c r="S51" s="162"/>
      <c r="T51" s="162"/>
      <c r="U51" s="294"/>
      <c r="V51" s="295"/>
      <c r="W51" s="162"/>
      <c r="X51" s="162"/>
      <c r="Y51" s="162"/>
      <c r="Z51" s="294"/>
      <c r="AA51" s="295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3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78"/>
      <c r="CF51" s="436"/>
      <c r="CG51" s="437"/>
      <c r="CH51" s="437"/>
      <c r="CI51" s="437"/>
      <c r="CJ51" s="437"/>
      <c r="CK51" s="43"/>
      <c r="CL51" s="43"/>
      <c r="CM51" s="43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77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77"/>
    </row>
    <row r="52" spans="1:233" ht="21.75" hidden="1" customHeight="1">
      <c r="A52" s="189">
        <f>--SUBTOTAL(2,CN$13:CN52)</f>
        <v>39</v>
      </c>
      <c r="B52" s="638" t="str">
        <f>IF(FILIACIÓN!B49="","",UPPER(FILIACIÓN!B49))</f>
        <v/>
      </c>
      <c r="C52" s="639"/>
      <c r="D52" s="640"/>
      <c r="E52" s="446" t="str">
        <f t="shared" si="3"/>
        <v/>
      </c>
      <c r="F52" s="161"/>
      <c r="G52" s="162"/>
      <c r="H52" s="162"/>
      <c r="I52" s="162"/>
      <c r="J52" s="294"/>
      <c r="K52" s="295"/>
      <c r="L52" s="162"/>
      <c r="M52" s="162"/>
      <c r="N52" s="162"/>
      <c r="O52" s="162"/>
      <c r="P52" s="162"/>
      <c r="Q52" s="162"/>
      <c r="R52" s="162"/>
      <c r="S52" s="162"/>
      <c r="T52" s="162"/>
      <c r="U52" s="294"/>
      <c r="V52" s="295"/>
      <c r="W52" s="162"/>
      <c r="X52" s="162"/>
      <c r="Y52" s="162"/>
      <c r="Z52" s="294"/>
      <c r="AA52" s="295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3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78"/>
      <c r="CF52" s="436"/>
      <c r="CG52" s="437"/>
      <c r="CH52" s="437"/>
      <c r="CI52" s="437"/>
      <c r="CJ52" s="437"/>
      <c r="CK52" s="43"/>
      <c r="CL52" s="43"/>
      <c r="CM52" s="43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77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77"/>
    </row>
    <row r="53" spans="1:233" ht="21.75" hidden="1" customHeight="1">
      <c r="A53" s="189">
        <f>--SUBTOTAL(2,CN$13:CN53)</f>
        <v>40</v>
      </c>
      <c r="B53" s="638" t="str">
        <f>IF(FILIACIÓN!B50="","",UPPER(FILIACIÓN!B50))</f>
        <v/>
      </c>
      <c r="C53" s="639"/>
      <c r="D53" s="640"/>
      <c r="E53" s="446" t="str">
        <f t="shared" si="3"/>
        <v/>
      </c>
      <c r="F53" s="161"/>
      <c r="G53" s="162"/>
      <c r="H53" s="162"/>
      <c r="I53" s="162"/>
      <c r="J53" s="294"/>
      <c r="K53" s="295"/>
      <c r="L53" s="162"/>
      <c r="M53" s="162"/>
      <c r="N53" s="162"/>
      <c r="O53" s="162"/>
      <c r="P53" s="162"/>
      <c r="Q53" s="162"/>
      <c r="R53" s="162"/>
      <c r="S53" s="162"/>
      <c r="T53" s="162"/>
      <c r="U53" s="294"/>
      <c r="V53" s="295"/>
      <c r="W53" s="162"/>
      <c r="X53" s="162"/>
      <c r="Y53" s="162"/>
      <c r="Z53" s="294"/>
      <c r="AA53" s="295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3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78"/>
      <c r="CF53" s="436"/>
      <c r="CG53" s="437"/>
      <c r="CH53" s="437"/>
      <c r="CI53" s="437"/>
      <c r="CJ53" s="437"/>
      <c r="CK53" s="43"/>
      <c r="CL53" s="43"/>
      <c r="CM53" s="43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77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77"/>
    </row>
    <row r="54" spans="1:233" ht="21.75" hidden="1" customHeight="1">
      <c r="A54" s="189">
        <f>--SUBTOTAL(2,CN$13:CN54)</f>
        <v>41</v>
      </c>
      <c r="B54" s="638" t="str">
        <f>IF(FILIACIÓN!B51="","",UPPER(FILIACIÓN!B51))</f>
        <v/>
      </c>
      <c r="C54" s="639"/>
      <c r="D54" s="640"/>
      <c r="E54" s="446" t="str">
        <f t="shared" si="3"/>
        <v/>
      </c>
      <c r="F54" s="161"/>
      <c r="G54" s="162"/>
      <c r="H54" s="162"/>
      <c r="I54" s="162"/>
      <c r="J54" s="294"/>
      <c r="K54" s="295"/>
      <c r="L54" s="162"/>
      <c r="M54" s="162"/>
      <c r="N54" s="162"/>
      <c r="O54" s="162"/>
      <c r="P54" s="162"/>
      <c r="Q54" s="162"/>
      <c r="R54" s="162"/>
      <c r="S54" s="162"/>
      <c r="T54" s="162"/>
      <c r="U54" s="294"/>
      <c r="V54" s="295"/>
      <c r="W54" s="162"/>
      <c r="X54" s="162"/>
      <c r="Y54" s="162"/>
      <c r="Z54" s="294"/>
      <c r="AA54" s="295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3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78"/>
      <c r="CF54" s="436"/>
      <c r="CG54" s="437"/>
      <c r="CH54" s="437"/>
      <c r="CI54" s="437"/>
      <c r="CJ54" s="437"/>
      <c r="CK54" s="43"/>
      <c r="CL54" s="43"/>
      <c r="CM54" s="43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77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77"/>
    </row>
    <row r="55" spans="1:233" ht="21.75" hidden="1" customHeight="1">
      <c r="A55" s="189">
        <f>--SUBTOTAL(2,CN$13:CN55)</f>
        <v>42</v>
      </c>
      <c r="B55" s="638" t="str">
        <f>IF(FILIACIÓN!B52="","",UPPER(FILIACIÓN!B52))</f>
        <v/>
      </c>
      <c r="C55" s="639"/>
      <c r="D55" s="640"/>
      <c r="E55" s="446" t="str">
        <f t="shared" si="3"/>
        <v/>
      </c>
      <c r="F55" s="161"/>
      <c r="G55" s="162"/>
      <c r="H55" s="162"/>
      <c r="I55" s="162"/>
      <c r="J55" s="294"/>
      <c r="K55" s="295"/>
      <c r="L55" s="162"/>
      <c r="M55" s="162"/>
      <c r="N55" s="162"/>
      <c r="O55" s="162"/>
      <c r="P55" s="162"/>
      <c r="Q55" s="162"/>
      <c r="R55" s="162"/>
      <c r="S55" s="162"/>
      <c r="T55" s="162"/>
      <c r="U55" s="294"/>
      <c r="V55" s="295"/>
      <c r="W55" s="162"/>
      <c r="X55" s="162"/>
      <c r="Y55" s="162"/>
      <c r="Z55" s="294"/>
      <c r="AA55" s="295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78"/>
      <c r="CF55" s="436"/>
      <c r="CG55" s="437"/>
      <c r="CH55" s="437"/>
      <c r="CI55" s="437"/>
      <c r="CJ55" s="437"/>
      <c r="CK55" s="43"/>
      <c r="CL55" s="43"/>
      <c r="CM55" s="43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77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77"/>
    </row>
    <row r="56" spans="1:233" ht="21.75" hidden="1" customHeight="1">
      <c r="A56" s="189">
        <f>--SUBTOTAL(2,CN$13:CN56)</f>
        <v>43</v>
      </c>
      <c r="B56" s="638" t="str">
        <f>IF(FILIACIÓN!B53="","",UPPER(FILIACIÓN!B53))</f>
        <v/>
      </c>
      <c r="C56" s="639"/>
      <c r="D56" s="640"/>
      <c r="E56" s="446" t="str">
        <f t="shared" si="3"/>
        <v/>
      </c>
      <c r="F56" s="161"/>
      <c r="G56" s="162"/>
      <c r="H56" s="162"/>
      <c r="I56" s="162"/>
      <c r="J56" s="294"/>
      <c r="K56" s="295"/>
      <c r="L56" s="162"/>
      <c r="M56" s="162"/>
      <c r="N56" s="162"/>
      <c r="O56" s="162"/>
      <c r="P56" s="162"/>
      <c r="Q56" s="162"/>
      <c r="R56" s="162"/>
      <c r="S56" s="162"/>
      <c r="T56" s="162"/>
      <c r="U56" s="294"/>
      <c r="V56" s="295"/>
      <c r="W56" s="162"/>
      <c r="X56" s="162"/>
      <c r="Y56" s="162"/>
      <c r="Z56" s="294"/>
      <c r="AA56" s="295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78"/>
      <c r="CF56" s="436"/>
      <c r="CG56" s="437"/>
      <c r="CH56" s="437"/>
      <c r="CI56" s="437"/>
      <c r="CJ56" s="437"/>
      <c r="CK56" s="43"/>
      <c r="CL56" s="43"/>
      <c r="CM56" s="43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77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77"/>
    </row>
    <row r="57" spans="1:233" ht="21.75" hidden="1" customHeight="1">
      <c r="A57" s="189">
        <f>--SUBTOTAL(2,CN$13:CN57)</f>
        <v>44</v>
      </c>
      <c r="B57" s="638" t="str">
        <f>IF(FILIACIÓN!B54="","",UPPER(FILIACIÓN!B54))</f>
        <v/>
      </c>
      <c r="C57" s="639"/>
      <c r="D57" s="640"/>
      <c r="E57" s="446" t="str">
        <f t="shared" si="3"/>
        <v/>
      </c>
      <c r="F57" s="161"/>
      <c r="G57" s="162"/>
      <c r="H57" s="162"/>
      <c r="I57" s="162"/>
      <c r="J57" s="294"/>
      <c r="K57" s="295"/>
      <c r="L57" s="162"/>
      <c r="M57" s="162"/>
      <c r="N57" s="162"/>
      <c r="O57" s="162"/>
      <c r="P57" s="162"/>
      <c r="Q57" s="162"/>
      <c r="R57" s="162"/>
      <c r="S57" s="162"/>
      <c r="T57" s="162"/>
      <c r="U57" s="294"/>
      <c r="V57" s="295"/>
      <c r="W57" s="162"/>
      <c r="X57" s="162"/>
      <c r="Y57" s="162"/>
      <c r="Z57" s="294"/>
      <c r="AA57" s="295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3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43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38" t="str">
        <f>IF(FILIACIÓN!B55="","",UPPER(FILIACIÓN!B55))</f>
        <v/>
      </c>
      <c r="C58" s="639"/>
      <c r="D58" s="640"/>
      <c r="E58" s="446" t="str">
        <f t="shared" si="3"/>
        <v/>
      </c>
      <c r="F58" s="161"/>
      <c r="G58" s="162"/>
      <c r="H58" s="162"/>
      <c r="I58" s="162"/>
      <c r="J58" s="294"/>
      <c r="K58" s="295"/>
      <c r="L58" s="162"/>
      <c r="M58" s="162"/>
      <c r="N58" s="162"/>
      <c r="O58" s="162"/>
      <c r="P58" s="162"/>
      <c r="Q58" s="162"/>
      <c r="R58" s="162"/>
      <c r="S58" s="162"/>
      <c r="T58" s="162"/>
      <c r="U58" s="294"/>
      <c r="V58" s="295"/>
      <c r="W58" s="162"/>
      <c r="X58" s="162"/>
      <c r="Y58" s="162"/>
      <c r="Z58" s="294"/>
      <c r="AA58" s="295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3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43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38" t="str">
        <f>IF(FILIACIÓN!B56="","",UPPER(FILIACIÓN!B56))</f>
        <v/>
      </c>
      <c r="C59" s="639"/>
      <c r="D59" s="640"/>
      <c r="E59" s="446" t="str">
        <f t="shared" si="3"/>
        <v/>
      </c>
      <c r="F59" s="161"/>
      <c r="G59" s="162"/>
      <c r="H59" s="162"/>
      <c r="I59" s="162"/>
      <c r="J59" s="294"/>
      <c r="K59" s="295"/>
      <c r="L59" s="162"/>
      <c r="M59" s="162"/>
      <c r="N59" s="162"/>
      <c r="O59" s="162"/>
      <c r="P59" s="162"/>
      <c r="Q59" s="162"/>
      <c r="R59" s="162"/>
      <c r="S59" s="162"/>
      <c r="T59" s="162"/>
      <c r="U59" s="294"/>
      <c r="V59" s="295"/>
      <c r="W59" s="162"/>
      <c r="X59" s="162"/>
      <c r="Y59" s="162"/>
      <c r="Z59" s="294"/>
      <c r="AA59" s="295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43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38" t="str">
        <f>IF(FILIACIÓN!B57="","",UPPER(FILIACIÓN!B57))</f>
        <v/>
      </c>
      <c r="C60" s="639"/>
      <c r="D60" s="640"/>
      <c r="E60" s="446" t="str">
        <f t="shared" si="3"/>
        <v/>
      </c>
      <c r="F60" s="161"/>
      <c r="G60" s="162"/>
      <c r="H60" s="162"/>
      <c r="I60" s="162"/>
      <c r="J60" s="294"/>
      <c r="K60" s="295"/>
      <c r="L60" s="162"/>
      <c r="M60" s="162"/>
      <c r="N60" s="162"/>
      <c r="O60" s="162"/>
      <c r="P60" s="162"/>
      <c r="Q60" s="162"/>
      <c r="R60" s="162"/>
      <c r="S60" s="162"/>
      <c r="T60" s="162"/>
      <c r="U60" s="294"/>
      <c r="V60" s="295"/>
      <c r="W60" s="162"/>
      <c r="X60" s="162"/>
      <c r="Y60" s="162"/>
      <c r="Z60" s="294"/>
      <c r="AA60" s="295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43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38" t="str">
        <f>IF(FILIACIÓN!B58="","",UPPER(FILIACIÓN!B58))</f>
        <v/>
      </c>
      <c r="C61" s="639"/>
      <c r="D61" s="640"/>
      <c r="E61" s="446" t="str">
        <f t="shared" si="3"/>
        <v/>
      </c>
      <c r="F61" s="161"/>
      <c r="G61" s="162"/>
      <c r="H61" s="162"/>
      <c r="I61" s="162"/>
      <c r="J61" s="294"/>
      <c r="K61" s="295"/>
      <c r="L61" s="162"/>
      <c r="M61" s="162"/>
      <c r="N61" s="162"/>
      <c r="O61" s="162"/>
      <c r="P61" s="162"/>
      <c r="Q61" s="162"/>
      <c r="R61" s="162"/>
      <c r="S61" s="162"/>
      <c r="T61" s="162"/>
      <c r="U61" s="294"/>
      <c r="V61" s="295"/>
      <c r="W61" s="162"/>
      <c r="X61" s="162"/>
      <c r="Y61" s="162"/>
      <c r="Z61" s="294"/>
      <c r="AA61" s="295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3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43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38" t="str">
        <f>IF(FILIACIÓN!B59="","",UPPER(FILIACIÓN!B59))</f>
        <v/>
      </c>
      <c r="C62" s="639"/>
      <c r="D62" s="640"/>
      <c r="E62" s="446" t="str">
        <f t="shared" si="3"/>
        <v/>
      </c>
      <c r="F62" s="161"/>
      <c r="G62" s="162"/>
      <c r="H62" s="162"/>
      <c r="I62" s="162"/>
      <c r="J62" s="294"/>
      <c r="K62" s="295"/>
      <c r="L62" s="162"/>
      <c r="M62" s="162"/>
      <c r="N62" s="162"/>
      <c r="O62" s="162"/>
      <c r="P62" s="162"/>
      <c r="Q62" s="162"/>
      <c r="R62" s="162"/>
      <c r="S62" s="162"/>
      <c r="T62" s="162"/>
      <c r="U62" s="294"/>
      <c r="V62" s="295"/>
      <c r="W62" s="162"/>
      <c r="X62" s="162"/>
      <c r="Y62" s="162"/>
      <c r="Z62" s="294"/>
      <c r="AA62" s="295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3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78"/>
      <c r="CF62" s="436"/>
      <c r="CG62" s="437"/>
      <c r="CH62" s="437"/>
      <c r="CI62" s="437"/>
      <c r="CJ62" s="437"/>
      <c r="CK62" s="43"/>
      <c r="CL62" s="43"/>
      <c r="CM62" s="43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77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77"/>
    </row>
    <row r="63" spans="1:233" ht="21.75" hidden="1" customHeight="1" thickBot="1">
      <c r="A63" s="190">
        <f>--SUBTOTAL(2,CN$13:CN63)</f>
        <v>50</v>
      </c>
      <c r="B63" s="644" t="str">
        <f>IF(FILIACIÓN!B60="","",UPPER(FILIACIÓN!B60))</f>
        <v/>
      </c>
      <c r="C63" s="645"/>
      <c r="D63" s="646"/>
      <c r="E63" s="447" t="str">
        <f t="shared" si="3"/>
        <v/>
      </c>
      <c r="F63" s="164"/>
      <c r="G63" s="165"/>
      <c r="H63" s="165"/>
      <c r="I63" s="165"/>
      <c r="J63" s="296"/>
      <c r="K63" s="297"/>
      <c r="L63" s="165"/>
      <c r="M63" s="165"/>
      <c r="N63" s="165"/>
      <c r="O63" s="165"/>
      <c r="P63" s="165"/>
      <c r="Q63" s="165"/>
      <c r="R63" s="165"/>
      <c r="S63" s="165"/>
      <c r="T63" s="165"/>
      <c r="U63" s="296"/>
      <c r="V63" s="297"/>
      <c r="W63" s="165"/>
      <c r="X63" s="165"/>
      <c r="Y63" s="165"/>
      <c r="Z63" s="296"/>
      <c r="AA63" s="297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6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43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50" t="s">
        <v>278</v>
      </c>
      <c r="D66" s="651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47" t="s">
        <v>356</v>
      </c>
      <c r="B72" s="647"/>
      <c r="C72" s="647"/>
    </row>
    <row r="73" spans="1:233" ht="15.75">
      <c r="A73" s="648" t="s">
        <v>357</v>
      </c>
      <c r="B73" s="648"/>
      <c r="C73" s="539">
        <v>25</v>
      </c>
    </row>
  </sheetData>
  <sheetProtection password="CF7A" sheet="1" scenarios="1" autoFilter="0"/>
  <autoFilter ref="CL13:CM63"/>
  <mergeCells count="97">
    <mergeCell ref="A72:C72"/>
    <mergeCell ref="A73:B73"/>
    <mergeCell ref="C66:D66"/>
    <mergeCell ref="B48:D48"/>
    <mergeCell ref="B47:D47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53:D53"/>
    <mergeCell ref="B30:D30"/>
    <mergeCell ref="B29:D29"/>
    <mergeCell ref="B28:D28"/>
    <mergeCell ref="B27:D27"/>
    <mergeCell ref="B46:D46"/>
    <mergeCell ref="B45:D45"/>
    <mergeCell ref="B44:D44"/>
    <mergeCell ref="B43:D43"/>
    <mergeCell ref="B42:D42"/>
    <mergeCell ref="B41:D41"/>
    <mergeCell ref="B39:D39"/>
    <mergeCell ref="B38:D38"/>
    <mergeCell ref="B37:D37"/>
    <mergeCell ref="B36:D36"/>
    <mergeCell ref="B35:D35"/>
    <mergeCell ref="B34:D34"/>
    <mergeCell ref="B52:D52"/>
    <mergeCell ref="B51:D51"/>
    <mergeCell ref="B50:D50"/>
    <mergeCell ref="B49:D49"/>
    <mergeCell ref="B40:D40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A12:D12"/>
    <mergeCell ref="B13:D13"/>
    <mergeCell ref="HM11:HQ11"/>
    <mergeCell ref="FO11:FS11"/>
    <mergeCell ref="FC11:FG11"/>
    <mergeCell ref="EZ9:EZ13"/>
    <mergeCell ref="HA10:HE10"/>
    <mergeCell ref="GA11:GE11"/>
    <mergeCell ref="GG11:GK11"/>
    <mergeCell ref="GO11:GS11"/>
    <mergeCell ref="GU11:GY11"/>
    <mergeCell ref="HA11:HE11"/>
    <mergeCell ref="FI11:FM11"/>
    <mergeCell ref="FC10:FG10"/>
    <mergeCell ref="FI10:FM10"/>
    <mergeCell ref="FO10:FS10"/>
    <mergeCell ref="HY9:HY13"/>
    <mergeCell ref="FC9:GL9"/>
    <mergeCell ref="FU10:FY10"/>
    <mergeCell ref="GA10:GE10"/>
    <mergeCell ref="GG10:GK10"/>
    <mergeCell ref="GO10:GS10"/>
    <mergeCell ref="GU10:GY10"/>
    <mergeCell ref="GM9:GM13"/>
    <mergeCell ref="GO9:HX9"/>
    <mergeCell ref="HG10:HK10"/>
    <mergeCell ref="HM10:HQ10"/>
    <mergeCell ref="HS10:HW10"/>
    <mergeCell ref="FU11:FY11"/>
    <mergeCell ref="L2:CB2"/>
    <mergeCell ref="CD6:CD7"/>
    <mergeCell ref="HS11:HW11"/>
    <mergeCell ref="HG11:HK11"/>
    <mergeCell ref="CD9:CD13"/>
    <mergeCell ref="CC9:CC13"/>
    <mergeCell ref="BX9:BY9"/>
    <mergeCell ref="BZ9:BZ13"/>
    <mergeCell ref="CA9:CA13"/>
    <mergeCell ref="BX10:BX13"/>
    <mergeCell ref="BY10:BY13"/>
    <mergeCell ref="CB9:CB13"/>
    <mergeCell ref="BX8:CB8"/>
    <mergeCell ref="L4:CB4"/>
    <mergeCell ref="F11:BW11"/>
  </mergeCells>
  <conditionalFormatting sqref="CD14:CD63">
    <cfRule type="containsErrors" dxfId="31" priority="8">
      <formula>ISERROR(CD14)</formula>
    </cfRule>
  </conditionalFormatting>
  <conditionalFormatting sqref="A14:B63 F14:CD63">
    <cfRule type="expression" dxfId="30" priority="3">
      <formula>ROW()=CELL("Fila")</formula>
    </cfRule>
  </conditionalFormatting>
  <conditionalFormatting sqref="BX10:BY10 BZ9:CB13 M13:BW13">
    <cfRule type="expression" dxfId="29" priority="2">
      <formula>COLUMN()=CELL("Columna")</formula>
    </cfRule>
  </conditionalFormatting>
  <conditionalFormatting sqref="F14:BW63">
    <cfRule type="cellIs" dxfId="28" priority="17" operator="equal">
      <formula>"T"</formula>
    </cfRule>
    <cfRule type="cellIs" dxfId="27" priority="31" operator="equal">
      <formula>"F"</formula>
    </cfRule>
    <cfRule type="cellIs" dxfId="26" priority="32" operator="equal">
      <formula>"L"</formula>
    </cfRule>
  </conditionalFormatting>
  <conditionalFormatting sqref="BX14:CD63">
    <cfRule type="cellIs" dxfId="25" priority="9" operator="equal">
      <formula>0</formula>
    </cfRule>
  </conditionalFormatting>
  <conditionalFormatting sqref="CC14:CC63">
    <cfRule type="cellIs" dxfId="24" priority="1" operator="equal">
      <formula>"RETIRADO"</formula>
    </cfRule>
  </conditionalFormatting>
  <dataValidations count="2">
    <dataValidation type="whole" allowBlank="1" showErrorMessage="1" errorTitle="Valor incorrecto:" error="Solo se permiten valores entre 1 y 10." sqref="K10 U10 AD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55" fitToHeight="0" orientation="portrait" horizontalDpi="4294967294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5" tint="-0.249977111117893"/>
    <pageSetUpPr fitToPage="1"/>
  </sheetPr>
  <dimension ref="A1:KH114"/>
  <sheetViews>
    <sheetView showGridLines="0" showRowColHeaders="0" showZeros="0" zoomScale="85" zoomScaleNormal="85" workbookViewId="0">
      <pane xSplit="4" ySplit="12" topLeftCell="E13" activePane="bottomRight" state="frozen"/>
      <selection activeCell="BZ1" sqref="BZ1"/>
      <selection pane="topRight" activeCell="BZ1" sqref="BZ1"/>
      <selection pane="bottomLeft" activeCell="BZ1" sqref="BZ1"/>
      <selection pane="bottomRight" activeCell="F13" sqref="F13"/>
    </sheetView>
  </sheetViews>
  <sheetFormatPr baseColWidth="10" defaultRowHeight="15" customHeight="1"/>
  <cols>
    <col min="1" max="1" width="4.125" style="1" customWidth="1"/>
    <col min="2" max="2" width="13.75" style="1" customWidth="1"/>
    <col min="3" max="3" width="13" style="1" customWidth="1"/>
    <col min="4" max="4" width="17.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customWidth="1"/>
    <col min="73" max="74" width="5.375" style="424" hidden="1" customWidth="1"/>
    <col min="75" max="76" width="7.5" style="82" hidden="1" customWidth="1"/>
    <col min="77" max="77" width="7.5" style="38" hidden="1" customWidth="1"/>
    <col min="78" max="78" width="5" style="38" hidden="1" customWidth="1"/>
    <col min="79" max="80" width="5" style="26" hidden="1" customWidth="1"/>
    <col min="81" max="93" width="12.875" style="26" customWidth="1"/>
    <col min="94" max="94" width="5" style="26" customWidth="1"/>
    <col min="95" max="95" width="1.375" style="26" customWidth="1"/>
    <col min="96" max="100" width="5" style="26" customWidth="1"/>
    <col min="101" max="101" width="1.375" style="1" customWidth="1"/>
    <col min="102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F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AX2" s="244"/>
      <c r="BG2" s="253"/>
      <c r="BH2" s="253"/>
      <c r="BI2" s="253"/>
      <c r="BJ2" s="244"/>
      <c r="BK2" s="244"/>
      <c r="BL2" s="244"/>
      <c r="CC2" s="258"/>
      <c r="CD2" s="286" t="s">
        <v>24</v>
      </c>
      <c r="CF2" s="699" t="s">
        <v>183</v>
      </c>
      <c r="CG2" s="699"/>
      <c r="CH2" s="699"/>
      <c r="CI2" s="699"/>
      <c r="CJ2" s="699"/>
      <c r="CK2" s="699"/>
      <c r="CL2" s="699"/>
      <c r="CM2" s="699"/>
      <c r="CN2" s="691" t="s">
        <v>189</v>
      </c>
      <c r="CO2" s="692"/>
    </row>
    <row r="3" spans="1:294" ht="21.75" customHeight="1">
      <c r="A3" s="56"/>
      <c r="C3" s="243" t="str">
        <f>IF(FILIACIÓN!E3="","",FILIACIÓN!E3)</f>
        <v xml:space="preserve">SIE </v>
      </c>
      <c r="E3" s="745" t="s">
        <v>233</v>
      </c>
      <c r="F3" s="745"/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745"/>
      <c r="Z3" s="745"/>
      <c r="AA3" s="745"/>
      <c r="AB3" s="745"/>
      <c r="AC3" s="745"/>
      <c r="AD3" s="745"/>
      <c r="AE3" s="745"/>
      <c r="AF3" s="745"/>
      <c r="AG3" s="745"/>
      <c r="AH3" s="745"/>
      <c r="AI3" s="745"/>
      <c r="AJ3" s="745"/>
      <c r="AK3" s="745"/>
      <c r="AL3" s="745"/>
      <c r="AM3" s="745"/>
      <c r="AN3" s="745"/>
      <c r="AO3" s="745"/>
      <c r="AP3" s="745"/>
      <c r="AQ3" s="745"/>
      <c r="AR3" s="745"/>
      <c r="AS3" s="745"/>
      <c r="AT3" s="745"/>
      <c r="AU3" s="745"/>
      <c r="AV3" s="745"/>
      <c r="AW3" s="745"/>
      <c r="AX3" s="745"/>
      <c r="AY3" s="745"/>
      <c r="AZ3" s="745"/>
      <c r="BA3" s="745"/>
      <c r="BB3" s="745"/>
      <c r="BC3" s="745"/>
      <c r="BD3" s="745"/>
      <c r="BE3" s="745"/>
      <c r="BF3" s="745"/>
      <c r="BG3" s="745"/>
      <c r="BH3" s="745"/>
      <c r="BI3" s="745"/>
      <c r="BJ3" s="28"/>
      <c r="BK3" s="28"/>
      <c r="BL3" s="28"/>
      <c r="BM3" s="28"/>
      <c r="BN3" s="28"/>
      <c r="BO3" s="106"/>
      <c r="CC3" s="249" t="s">
        <v>14</v>
      </c>
      <c r="CD3" s="287">
        <f>COUNTIF($BP$13:$BP$62,"EFECTIVO")</f>
        <v>0</v>
      </c>
      <c r="CF3" s="696" t="s">
        <v>184</v>
      </c>
      <c r="CG3" s="696"/>
      <c r="CH3" s="697" t="s">
        <v>190</v>
      </c>
      <c r="CI3" s="697"/>
      <c r="CJ3" s="698" t="s">
        <v>185</v>
      </c>
      <c r="CK3" s="698"/>
      <c r="CL3" s="695" t="s">
        <v>244</v>
      </c>
      <c r="CM3" s="695"/>
      <c r="CN3" s="693"/>
      <c r="CO3" s="694"/>
    </row>
    <row r="4" spans="1:294" ht="21.75" customHeight="1" thickBot="1">
      <c r="A4" s="56"/>
      <c r="C4" s="42" t="str">
        <f>IF(FILIACIÓN!C3="","",FILIACIÓN!C3)</f>
        <v xml:space="preserve">TURNO </v>
      </c>
      <c r="E4" s="745"/>
      <c r="F4" s="745"/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745"/>
      <c r="Z4" s="745"/>
      <c r="AA4" s="745"/>
      <c r="AB4" s="745"/>
      <c r="AC4" s="745"/>
      <c r="AD4" s="745"/>
      <c r="AE4" s="745"/>
      <c r="AF4" s="745"/>
      <c r="AG4" s="745"/>
      <c r="AH4" s="745"/>
      <c r="AI4" s="745"/>
      <c r="AJ4" s="745"/>
      <c r="AK4" s="745"/>
      <c r="AL4" s="745"/>
      <c r="AM4" s="745"/>
      <c r="AN4" s="745"/>
      <c r="AO4" s="745"/>
      <c r="AP4" s="745"/>
      <c r="AQ4" s="745"/>
      <c r="AR4" s="745"/>
      <c r="AS4" s="745"/>
      <c r="AT4" s="745"/>
      <c r="AU4" s="745"/>
      <c r="AV4" s="745"/>
      <c r="AW4" s="745"/>
      <c r="AX4" s="745"/>
      <c r="AY4" s="745"/>
      <c r="AZ4" s="745"/>
      <c r="BA4" s="745"/>
      <c r="BB4" s="745"/>
      <c r="BC4" s="745"/>
      <c r="BD4" s="745"/>
      <c r="BE4" s="745"/>
      <c r="BF4" s="745"/>
      <c r="BG4" s="745"/>
      <c r="BH4" s="745"/>
      <c r="BI4" s="745"/>
      <c r="BJ4" s="28"/>
      <c r="BK4" s="28"/>
      <c r="BL4" s="28"/>
      <c r="BM4" s="254"/>
      <c r="BN4" s="254"/>
      <c r="BO4" s="255"/>
      <c r="CC4" s="250" t="s">
        <v>18</v>
      </c>
      <c r="CD4" s="288">
        <f>COUNTIF($BQ$13:$BQ$62,"APROBADO")</f>
        <v>0</v>
      </c>
      <c r="CF4" s="276" t="s">
        <v>24</v>
      </c>
      <c r="CG4" s="276" t="s">
        <v>20</v>
      </c>
      <c r="CH4" s="277" t="s">
        <v>24</v>
      </c>
      <c r="CI4" s="277" t="s">
        <v>20</v>
      </c>
      <c r="CJ4" s="278" t="s">
        <v>24</v>
      </c>
      <c r="CK4" s="278" t="s">
        <v>20</v>
      </c>
      <c r="CL4" s="279" t="s">
        <v>24</v>
      </c>
      <c r="CM4" s="279" t="s">
        <v>20</v>
      </c>
      <c r="CN4" s="275"/>
      <c r="CO4" s="275" t="s">
        <v>20</v>
      </c>
    </row>
    <row r="5" spans="1:294" ht="21.75" customHeight="1" thickBot="1">
      <c r="C5" s="243" t="str">
        <f>IF(FILIACIÓN!C4="","",FILIACIÓN!C4)</f>
        <v>GESTION 2025</v>
      </c>
      <c r="E5" s="684" t="s">
        <v>258</v>
      </c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  <c r="T5" s="685"/>
      <c r="U5" s="685"/>
      <c r="V5" s="685"/>
      <c r="W5" s="685"/>
      <c r="X5" s="685"/>
      <c r="Y5" s="685"/>
      <c r="Z5" s="685"/>
      <c r="AA5" s="685"/>
      <c r="AB5" s="685"/>
      <c r="AC5" s="685"/>
      <c r="AD5" s="685"/>
      <c r="AE5" s="685"/>
      <c r="AF5" s="685"/>
      <c r="AG5" s="685"/>
      <c r="AH5" s="685"/>
      <c r="AI5" s="685"/>
      <c r="AJ5" s="685"/>
      <c r="AK5" s="685"/>
      <c r="AL5" s="685"/>
      <c r="AM5" s="685"/>
      <c r="AN5" s="685"/>
      <c r="AO5" s="685"/>
      <c r="AP5" s="685"/>
      <c r="AQ5" s="685"/>
      <c r="AR5" s="685"/>
      <c r="AS5" s="685"/>
      <c r="AT5" s="685"/>
      <c r="AU5" s="685"/>
      <c r="AV5" s="685"/>
      <c r="AW5" s="685"/>
      <c r="AX5" s="685"/>
      <c r="AY5" s="685"/>
      <c r="AZ5" s="685"/>
      <c r="BA5" s="685"/>
      <c r="BB5" s="685"/>
      <c r="BC5" s="685"/>
      <c r="BD5" s="685"/>
      <c r="BE5" s="685"/>
      <c r="BF5" s="685"/>
      <c r="BG5" s="685"/>
      <c r="BH5" s="685"/>
      <c r="BI5" s="685"/>
      <c r="BJ5" s="685"/>
      <c r="BK5" s="686"/>
      <c r="BL5" s="34"/>
      <c r="BM5" s="723" t="s">
        <v>191</v>
      </c>
      <c r="BN5" s="724"/>
      <c r="BO5" s="724"/>
      <c r="BP5" s="707" t="s">
        <v>3</v>
      </c>
      <c r="BQ5" s="710" t="s">
        <v>17</v>
      </c>
      <c r="BR5" s="707" t="s">
        <v>312</v>
      </c>
      <c r="BS5" s="461"/>
      <c r="BT5" s="111"/>
      <c r="BU5" s="30"/>
      <c r="BV5" s="30"/>
      <c r="BW5" s="110"/>
      <c r="BX5" s="110"/>
      <c r="CC5" s="251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88" t="s">
        <v>290</v>
      </c>
      <c r="F6" s="689"/>
      <c r="G6" s="689"/>
      <c r="H6" s="689"/>
      <c r="I6" s="689"/>
      <c r="J6" s="689"/>
      <c r="K6" s="689"/>
      <c r="L6" s="689"/>
      <c r="M6" s="689"/>
      <c r="N6" s="689"/>
      <c r="O6" s="690"/>
      <c r="P6" s="14"/>
      <c r="Q6" s="688" t="s">
        <v>291</v>
      </c>
      <c r="R6" s="689"/>
      <c r="S6" s="689"/>
      <c r="T6" s="689"/>
      <c r="U6" s="689"/>
      <c r="V6" s="689"/>
      <c r="W6" s="689"/>
      <c r="X6" s="689"/>
      <c r="Y6" s="689"/>
      <c r="Z6" s="689"/>
      <c r="AA6" s="689"/>
      <c r="AB6" s="689"/>
      <c r="AC6" s="689"/>
      <c r="AD6" s="689"/>
      <c r="AE6" s="689"/>
      <c r="AF6" s="690"/>
      <c r="AG6" s="14"/>
      <c r="AH6" s="688" t="s">
        <v>292</v>
      </c>
      <c r="AI6" s="689"/>
      <c r="AJ6" s="689"/>
      <c r="AK6" s="689"/>
      <c r="AL6" s="689"/>
      <c r="AM6" s="689"/>
      <c r="AN6" s="689"/>
      <c r="AO6" s="689"/>
      <c r="AP6" s="689"/>
      <c r="AQ6" s="689"/>
      <c r="AR6" s="689"/>
      <c r="AS6" s="689"/>
      <c r="AT6" s="689"/>
      <c r="AU6" s="689"/>
      <c r="AV6" s="689"/>
      <c r="AW6" s="690"/>
      <c r="AX6" s="14"/>
      <c r="AY6" s="688" t="s">
        <v>293</v>
      </c>
      <c r="AZ6" s="689"/>
      <c r="BA6" s="689"/>
      <c r="BB6" s="689"/>
      <c r="BC6" s="689"/>
      <c r="BD6" s="689"/>
      <c r="BE6" s="689"/>
      <c r="BF6" s="689"/>
      <c r="BG6" s="689"/>
      <c r="BH6" s="689"/>
      <c r="BI6" s="690"/>
      <c r="BJ6" s="14"/>
      <c r="BK6" s="430">
        <v>5</v>
      </c>
      <c r="BL6" s="14"/>
      <c r="BM6" s="714" t="s">
        <v>240</v>
      </c>
      <c r="BN6" s="714" t="s">
        <v>241</v>
      </c>
      <c r="BO6" s="717" t="s">
        <v>180</v>
      </c>
      <c r="BP6" s="708"/>
      <c r="BQ6" s="710"/>
      <c r="BR6" s="708"/>
      <c r="BS6" s="461"/>
      <c r="BT6" s="111"/>
      <c r="BU6" s="30"/>
      <c r="BV6" s="30"/>
      <c r="BW6" s="110"/>
      <c r="BX6" s="110"/>
      <c r="BY6" s="110"/>
      <c r="BZ6" s="39"/>
      <c r="CB6" s="30"/>
      <c r="CC6" s="252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673" t="s">
        <v>21</v>
      </c>
      <c r="F7" s="681"/>
      <c r="G7" s="681"/>
      <c r="H7" s="681"/>
      <c r="I7" s="681"/>
      <c r="J7" s="681"/>
      <c r="K7" s="681"/>
      <c r="L7" s="681"/>
      <c r="M7" s="670"/>
      <c r="N7" s="667"/>
      <c r="O7" s="676" t="s">
        <v>186</v>
      </c>
      <c r="Q7" s="678"/>
      <c r="R7" s="670"/>
      <c r="S7" s="670"/>
      <c r="T7" s="670"/>
      <c r="U7" s="670"/>
      <c r="V7" s="670"/>
      <c r="W7" s="670"/>
      <c r="X7" s="670"/>
      <c r="Y7" s="670"/>
      <c r="Z7" s="670"/>
      <c r="AA7" s="670"/>
      <c r="AB7" s="670"/>
      <c r="AC7" s="670"/>
      <c r="AD7" s="670"/>
      <c r="AE7" s="667"/>
      <c r="AF7" s="676" t="s">
        <v>186</v>
      </c>
      <c r="AH7" s="678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  <c r="AT7" s="670"/>
      <c r="AU7" s="670"/>
      <c r="AV7" s="720"/>
      <c r="AW7" s="676" t="s">
        <v>186</v>
      </c>
      <c r="AY7" s="725"/>
      <c r="AZ7" s="681"/>
      <c r="BA7" s="681"/>
      <c r="BB7" s="681"/>
      <c r="BC7" s="681"/>
      <c r="BD7" s="681"/>
      <c r="BE7" s="681"/>
      <c r="BF7" s="681"/>
      <c r="BG7" s="670"/>
      <c r="BH7" s="670"/>
      <c r="BI7" s="676" t="s">
        <v>186</v>
      </c>
      <c r="BK7" s="703" t="s">
        <v>294</v>
      </c>
      <c r="BM7" s="715"/>
      <c r="BN7" s="715"/>
      <c r="BO7" s="718"/>
      <c r="BP7" s="708"/>
      <c r="BQ7" s="710"/>
      <c r="BR7" s="708"/>
      <c r="BS7" s="461"/>
      <c r="BT7" s="111"/>
      <c r="BU7" s="30"/>
      <c r="BV7" s="30"/>
      <c r="BW7" s="110"/>
      <c r="BX7" s="110"/>
      <c r="BY7" s="110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674"/>
      <c r="F8" s="682"/>
      <c r="G8" s="682"/>
      <c r="H8" s="682"/>
      <c r="I8" s="682"/>
      <c r="J8" s="682"/>
      <c r="K8" s="682"/>
      <c r="L8" s="682"/>
      <c r="M8" s="671"/>
      <c r="N8" s="668"/>
      <c r="O8" s="676"/>
      <c r="Q8" s="679"/>
      <c r="R8" s="671"/>
      <c r="S8" s="671"/>
      <c r="T8" s="671"/>
      <c r="U8" s="671"/>
      <c r="V8" s="671"/>
      <c r="W8" s="671"/>
      <c r="X8" s="671"/>
      <c r="Y8" s="671"/>
      <c r="Z8" s="671"/>
      <c r="AA8" s="671"/>
      <c r="AB8" s="671"/>
      <c r="AC8" s="671"/>
      <c r="AD8" s="671"/>
      <c r="AE8" s="668"/>
      <c r="AF8" s="676"/>
      <c r="AH8" s="679"/>
      <c r="AI8" s="671"/>
      <c r="AJ8" s="671"/>
      <c r="AK8" s="671"/>
      <c r="AL8" s="671"/>
      <c r="AM8" s="671"/>
      <c r="AN8" s="671"/>
      <c r="AO8" s="671"/>
      <c r="AP8" s="671"/>
      <c r="AQ8" s="671"/>
      <c r="AR8" s="671"/>
      <c r="AS8" s="671"/>
      <c r="AT8" s="671"/>
      <c r="AU8" s="671"/>
      <c r="AV8" s="721"/>
      <c r="AW8" s="676"/>
      <c r="AY8" s="726"/>
      <c r="AZ8" s="682"/>
      <c r="BA8" s="682"/>
      <c r="BB8" s="682"/>
      <c r="BC8" s="682"/>
      <c r="BD8" s="682"/>
      <c r="BE8" s="682"/>
      <c r="BF8" s="682"/>
      <c r="BG8" s="671"/>
      <c r="BH8" s="671"/>
      <c r="BI8" s="676"/>
      <c r="BK8" s="704"/>
      <c r="BM8" s="715"/>
      <c r="BN8" s="715"/>
      <c r="BO8" s="718"/>
      <c r="BP8" s="708"/>
      <c r="BQ8" s="710"/>
      <c r="BR8" s="708"/>
      <c r="BS8" s="461"/>
      <c r="BT8" s="111"/>
      <c r="BU8" s="30"/>
      <c r="BV8" s="30"/>
      <c r="BW8" s="110"/>
      <c r="BX8" s="110"/>
      <c r="BY8" s="110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674"/>
      <c r="F9" s="682"/>
      <c r="G9" s="682"/>
      <c r="H9" s="682"/>
      <c r="I9" s="682"/>
      <c r="J9" s="682"/>
      <c r="K9" s="682"/>
      <c r="L9" s="682"/>
      <c r="M9" s="671"/>
      <c r="N9" s="668"/>
      <c r="O9" s="676"/>
      <c r="Q9" s="679"/>
      <c r="R9" s="671"/>
      <c r="S9" s="671"/>
      <c r="T9" s="671"/>
      <c r="U9" s="671"/>
      <c r="V9" s="671"/>
      <c r="W9" s="671"/>
      <c r="X9" s="671"/>
      <c r="Y9" s="671"/>
      <c r="Z9" s="671"/>
      <c r="AA9" s="671"/>
      <c r="AB9" s="671"/>
      <c r="AC9" s="671"/>
      <c r="AD9" s="671"/>
      <c r="AE9" s="668"/>
      <c r="AF9" s="676"/>
      <c r="AH9" s="679"/>
      <c r="AI9" s="671"/>
      <c r="AJ9" s="671"/>
      <c r="AK9" s="671"/>
      <c r="AL9" s="671"/>
      <c r="AM9" s="671"/>
      <c r="AN9" s="671"/>
      <c r="AO9" s="671"/>
      <c r="AP9" s="671"/>
      <c r="AQ9" s="671"/>
      <c r="AR9" s="671"/>
      <c r="AS9" s="671"/>
      <c r="AT9" s="671"/>
      <c r="AU9" s="671"/>
      <c r="AV9" s="721"/>
      <c r="AW9" s="676"/>
      <c r="AY9" s="726"/>
      <c r="AZ9" s="682"/>
      <c r="BA9" s="682"/>
      <c r="BB9" s="682"/>
      <c r="BC9" s="682"/>
      <c r="BD9" s="682"/>
      <c r="BE9" s="682"/>
      <c r="BF9" s="682"/>
      <c r="BG9" s="671"/>
      <c r="BH9" s="671"/>
      <c r="BI9" s="676"/>
      <c r="BK9" s="704"/>
      <c r="BM9" s="715"/>
      <c r="BN9" s="715"/>
      <c r="BO9" s="718"/>
      <c r="BP9" s="708"/>
      <c r="BQ9" s="710"/>
      <c r="BR9" s="708"/>
      <c r="BS9" s="461"/>
      <c r="BT9" s="111"/>
      <c r="BU9" s="30"/>
      <c r="BV9" s="30"/>
      <c r="BW9" s="39"/>
      <c r="BX9" s="39"/>
      <c r="BY9" s="110"/>
      <c r="CA9" s="111"/>
    </row>
    <row r="10" spans="1:294" ht="45.75" customHeight="1">
      <c r="E10" s="674"/>
      <c r="F10" s="682"/>
      <c r="G10" s="682"/>
      <c r="H10" s="682"/>
      <c r="I10" s="682"/>
      <c r="J10" s="682"/>
      <c r="K10" s="682"/>
      <c r="L10" s="682"/>
      <c r="M10" s="671"/>
      <c r="N10" s="668"/>
      <c r="O10" s="676"/>
      <c r="Q10" s="679"/>
      <c r="R10" s="671"/>
      <c r="S10" s="671"/>
      <c r="T10" s="671"/>
      <c r="U10" s="671"/>
      <c r="V10" s="671"/>
      <c r="W10" s="671"/>
      <c r="X10" s="671"/>
      <c r="Y10" s="671"/>
      <c r="Z10" s="671"/>
      <c r="AA10" s="671"/>
      <c r="AB10" s="671"/>
      <c r="AC10" s="671"/>
      <c r="AD10" s="671"/>
      <c r="AE10" s="668"/>
      <c r="AF10" s="676"/>
      <c r="AH10" s="679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721"/>
      <c r="AW10" s="676"/>
      <c r="AY10" s="726"/>
      <c r="AZ10" s="682"/>
      <c r="BA10" s="682"/>
      <c r="BB10" s="682"/>
      <c r="BC10" s="682"/>
      <c r="BD10" s="682"/>
      <c r="BE10" s="682"/>
      <c r="BF10" s="682"/>
      <c r="BG10" s="671"/>
      <c r="BH10" s="671"/>
      <c r="BI10" s="676"/>
      <c r="BK10" s="704"/>
      <c r="BM10" s="715"/>
      <c r="BN10" s="715"/>
      <c r="BO10" s="718"/>
      <c r="BP10" s="708"/>
      <c r="BQ10" s="710"/>
      <c r="BR10" s="708"/>
      <c r="BS10" s="467"/>
      <c r="BT10" s="711" t="s">
        <v>285</v>
      </c>
      <c r="BU10" s="712"/>
      <c r="BV10" s="713"/>
      <c r="BW10" s="39"/>
      <c r="BX10" s="39"/>
      <c r="BY10" s="110"/>
      <c r="CA10" s="706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674"/>
      <c r="F11" s="682"/>
      <c r="G11" s="682"/>
      <c r="H11" s="682"/>
      <c r="I11" s="682"/>
      <c r="J11" s="682"/>
      <c r="K11" s="682"/>
      <c r="L11" s="682"/>
      <c r="M11" s="671"/>
      <c r="N11" s="668"/>
      <c r="O11" s="676"/>
      <c r="Q11" s="679"/>
      <c r="R11" s="671"/>
      <c r="S11" s="671"/>
      <c r="T11" s="671"/>
      <c r="U11" s="671"/>
      <c r="V11" s="671"/>
      <c r="W11" s="671"/>
      <c r="X11" s="671"/>
      <c r="Y11" s="671"/>
      <c r="Z11" s="671"/>
      <c r="AA11" s="671"/>
      <c r="AB11" s="671"/>
      <c r="AC11" s="671"/>
      <c r="AD11" s="671"/>
      <c r="AE11" s="668"/>
      <c r="AF11" s="676"/>
      <c r="AH11" s="679"/>
      <c r="AI11" s="671"/>
      <c r="AJ11" s="671"/>
      <c r="AK11" s="671"/>
      <c r="AL11" s="671"/>
      <c r="AM11" s="671"/>
      <c r="AN11" s="671"/>
      <c r="AO11" s="671"/>
      <c r="AP11" s="671"/>
      <c r="AQ11" s="671"/>
      <c r="AR11" s="671"/>
      <c r="AS11" s="671"/>
      <c r="AT11" s="671"/>
      <c r="AU11" s="671"/>
      <c r="AV11" s="721"/>
      <c r="AW11" s="676"/>
      <c r="AY11" s="726"/>
      <c r="AZ11" s="682"/>
      <c r="BA11" s="682"/>
      <c r="BB11" s="682"/>
      <c r="BC11" s="682"/>
      <c r="BD11" s="682"/>
      <c r="BE11" s="682"/>
      <c r="BF11" s="682"/>
      <c r="BG11" s="671"/>
      <c r="BH11" s="671"/>
      <c r="BI11" s="676"/>
      <c r="BK11" s="704"/>
      <c r="BM11" s="715"/>
      <c r="BN11" s="715"/>
      <c r="BO11" s="718"/>
      <c r="BP11" s="708"/>
      <c r="BQ11" s="746"/>
      <c r="BR11" s="708"/>
      <c r="BS11" s="467"/>
      <c r="BT11" s="710" t="s">
        <v>286</v>
      </c>
      <c r="BU11" s="702"/>
      <c r="BV11" s="702"/>
      <c r="BW11" s="39"/>
      <c r="BX11" s="39"/>
      <c r="BY11" s="110"/>
      <c r="CA11" s="706"/>
    </row>
    <row r="12" spans="1:294" ht="31.5" customHeight="1" thickBot="1">
      <c r="A12" s="116" t="s">
        <v>0</v>
      </c>
      <c r="B12" s="664" t="s">
        <v>200</v>
      </c>
      <c r="C12" s="665"/>
      <c r="D12" s="666"/>
      <c r="E12" s="675"/>
      <c r="F12" s="683"/>
      <c r="G12" s="683"/>
      <c r="H12" s="683"/>
      <c r="I12" s="683"/>
      <c r="J12" s="683"/>
      <c r="K12" s="683"/>
      <c r="L12" s="683"/>
      <c r="M12" s="672"/>
      <c r="N12" s="669"/>
      <c r="O12" s="677"/>
      <c r="Q12" s="680"/>
      <c r="R12" s="672"/>
      <c r="S12" s="672"/>
      <c r="T12" s="672"/>
      <c r="U12" s="672"/>
      <c r="V12" s="672"/>
      <c r="W12" s="672"/>
      <c r="X12" s="672"/>
      <c r="Y12" s="672"/>
      <c r="Z12" s="672"/>
      <c r="AA12" s="672"/>
      <c r="AB12" s="672"/>
      <c r="AC12" s="672"/>
      <c r="AD12" s="672"/>
      <c r="AE12" s="669"/>
      <c r="AF12" s="677"/>
      <c r="AH12" s="680"/>
      <c r="AI12" s="672"/>
      <c r="AJ12" s="672"/>
      <c r="AK12" s="672"/>
      <c r="AL12" s="672"/>
      <c r="AM12" s="672"/>
      <c r="AN12" s="672"/>
      <c r="AO12" s="672"/>
      <c r="AP12" s="672"/>
      <c r="AQ12" s="672"/>
      <c r="AR12" s="672"/>
      <c r="AS12" s="672"/>
      <c r="AT12" s="672"/>
      <c r="AU12" s="672"/>
      <c r="AV12" s="722"/>
      <c r="AW12" s="677"/>
      <c r="AY12" s="727"/>
      <c r="AZ12" s="683"/>
      <c r="BA12" s="683"/>
      <c r="BB12" s="683"/>
      <c r="BC12" s="683"/>
      <c r="BD12" s="683"/>
      <c r="BE12" s="683"/>
      <c r="BF12" s="683"/>
      <c r="BG12" s="672"/>
      <c r="BH12" s="672"/>
      <c r="BI12" s="677"/>
      <c r="BK12" s="705"/>
      <c r="BM12" s="716"/>
      <c r="BN12" s="716"/>
      <c r="BO12" s="719"/>
      <c r="BP12" s="709"/>
      <c r="BQ12" s="746"/>
      <c r="BR12" s="709"/>
      <c r="BS12" s="467"/>
      <c r="BT12" s="710"/>
      <c r="BU12" s="702"/>
      <c r="BV12" s="702"/>
      <c r="BW12" s="39"/>
      <c r="BX12" s="39"/>
      <c r="BY12" s="110"/>
      <c r="CA12" s="706"/>
      <c r="CB12" s="26" t="s">
        <v>255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39" t="str">
        <f>IF(FILIACIÓN!B11="","",UPPER(FILIACIÓN!B11))</f>
        <v/>
      </c>
      <c r="C13" s="740"/>
      <c r="D13" s="741"/>
      <c r="E13" s="464" t="str">
        <f>'ASISTENCIA 2'!CD14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6" t="str">
        <f>'1ER TRIMESTRE'!BM13</f>
        <v/>
      </c>
      <c r="BU13" s="425"/>
      <c r="BV13" s="425"/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36" t="str">
        <f>IF(FILIACIÓN!B12="","",UPPER(FILIACIÓN!B12))</f>
        <v/>
      </c>
      <c r="C14" s="737"/>
      <c r="D14" s="738"/>
      <c r="E14" s="465" t="str">
        <f>'ASISTENCIA 2'!CD15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 t="str">
        <f>'1ER TRIMESTRE'!BM14</f>
        <v/>
      </c>
      <c r="BU14" s="425"/>
      <c r="BV14" s="425"/>
      <c r="BW14" s="82"/>
      <c r="BX14" s="82"/>
      <c r="BY14" s="82"/>
      <c r="BZ14" s="39"/>
      <c r="CA14" s="531" t="str">
        <f t="shared" ref="CA14:CA61" si="9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33" t="str">
        <f>IF(FILIACIÓN!B13="","",UPPER(FILIACIÓN!B13))</f>
        <v/>
      </c>
      <c r="C15" s="734"/>
      <c r="D15" s="735"/>
      <c r="E15" s="465" t="str">
        <f>'ASISTENCIA 2'!CD16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 t="str">
        <f>'1ER TRIMESTRE'!BM15</f>
        <v/>
      </c>
      <c r="BU15" s="425"/>
      <c r="BV15" s="425"/>
      <c r="BW15" s="82"/>
      <c r="BX15" s="82"/>
      <c r="BY15" s="82"/>
      <c r="BZ15" s="39"/>
      <c r="CA15" s="531" t="str">
        <f t="shared" si="9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36" t="str">
        <f>IF(FILIACIÓN!B14="","",UPPER(FILIACIÓN!B14))</f>
        <v/>
      </c>
      <c r="C16" s="737"/>
      <c r="D16" s="738"/>
      <c r="E16" s="465" t="str">
        <f>'ASISTENCIA 2'!CD17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 t="str">
        <f>'1ER TRIMESTRE'!BM16</f>
        <v/>
      </c>
      <c r="BU16" s="425"/>
      <c r="BV16" s="425"/>
      <c r="BW16" s="82"/>
      <c r="BX16" s="82"/>
      <c r="BY16" s="82"/>
      <c r="BZ16" s="39"/>
      <c r="CA16" s="531" t="str">
        <f t="shared" si="9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36" t="str">
        <f>IF(FILIACIÓN!B15="","",UPPER(FILIACIÓN!B15))</f>
        <v/>
      </c>
      <c r="C17" s="737"/>
      <c r="D17" s="738"/>
      <c r="E17" s="465" t="str">
        <f>'ASISTENCIA 2'!CD18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 t="str">
        <f>'1ER TRIMESTRE'!BM17</f>
        <v/>
      </c>
      <c r="BU17" s="425"/>
      <c r="BV17" s="425"/>
      <c r="BW17" s="82"/>
      <c r="BX17" s="82"/>
      <c r="BY17" s="82"/>
      <c r="BZ17" s="39"/>
      <c r="CA17" s="531" t="str">
        <f t="shared" si="9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33" t="str">
        <f>IF(FILIACIÓN!B16="","",UPPER(FILIACIÓN!B16))</f>
        <v/>
      </c>
      <c r="C18" s="734"/>
      <c r="D18" s="735"/>
      <c r="E18" s="465" t="str">
        <f>'ASISTENCIA 2'!CD19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 t="str">
        <f>'1ER TRIMESTRE'!BM18</f>
        <v/>
      </c>
      <c r="BU18" s="425"/>
      <c r="BV18" s="425"/>
      <c r="BW18" s="82"/>
      <c r="BX18" s="82"/>
      <c r="BY18" s="82"/>
      <c r="BZ18" s="39"/>
      <c r="CA18" s="531" t="str">
        <f t="shared" si="9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33" t="str">
        <f>IF(FILIACIÓN!B17="","",UPPER(FILIACIÓN!B17))</f>
        <v/>
      </c>
      <c r="C19" s="734"/>
      <c r="D19" s="735"/>
      <c r="E19" s="465" t="str">
        <f>'ASISTENCIA 2'!CD20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 t="str">
        <f>'1ER TRIMESTRE'!BM19</f>
        <v/>
      </c>
      <c r="BU19" s="425"/>
      <c r="BV19" s="425"/>
      <c r="BW19" s="82"/>
      <c r="BX19" s="82"/>
      <c r="BY19" s="82"/>
      <c r="BZ19" s="39"/>
      <c r="CA19" s="531" t="str">
        <f t="shared" si="9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33" t="str">
        <f>IF(FILIACIÓN!B18="","",UPPER(FILIACIÓN!B18))</f>
        <v/>
      </c>
      <c r="C20" s="734"/>
      <c r="D20" s="735"/>
      <c r="E20" s="465" t="str">
        <f>'ASISTENCIA 2'!CD21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 t="str">
        <f>'1ER TRIMESTRE'!BM20</f>
        <v/>
      </c>
      <c r="BU20" s="425"/>
      <c r="BV20" s="425"/>
      <c r="BW20" s="82"/>
      <c r="BX20" s="82"/>
      <c r="BY20" s="82"/>
      <c r="BZ20" s="39"/>
      <c r="CA20" s="531" t="str">
        <f t="shared" si="9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33" t="str">
        <f>IF(FILIACIÓN!B19="","",UPPER(FILIACIÓN!B19))</f>
        <v/>
      </c>
      <c r="C21" s="734"/>
      <c r="D21" s="735"/>
      <c r="E21" s="465" t="str">
        <f>'ASISTENCIA 2'!CD22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 t="str">
        <f>'1ER TRIMESTRE'!BM21</f>
        <v/>
      </c>
      <c r="BU21" s="425"/>
      <c r="BV21" s="425"/>
      <c r="BW21" s="82"/>
      <c r="BX21" s="82"/>
      <c r="BY21" s="82"/>
      <c r="BZ21" s="39"/>
      <c r="CA21" s="531" t="str">
        <f t="shared" si="9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33" t="str">
        <f>IF(FILIACIÓN!B20="","",UPPER(FILIACIÓN!B20))</f>
        <v/>
      </c>
      <c r="C22" s="734"/>
      <c r="D22" s="735"/>
      <c r="E22" s="465" t="str">
        <f>'ASISTENCIA 2'!CD23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 t="str">
        <f>'1ER TRIMESTRE'!BM22</f>
        <v/>
      </c>
      <c r="BU22" s="425"/>
      <c r="BV22" s="425"/>
      <c r="BW22" s="82"/>
      <c r="BX22" s="82"/>
      <c r="BY22" s="82"/>
      <c r="BZ22" s="39"/>
      <c r="CA22" s="531" t="str">
        <f t="shared" si="9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33" t="str">
        <f>IF(FILIACIÓN!B21="","",UPPER(FILIACIÓN!B21))</f>
        <v/>
      </c>
      <c r="C23" s="734"/>
      <c r="D23" s="735"/>
      <c r="E23" s="465" t="str">
        <f>'ASISTENCIA 2'!CD24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 t="str">
        <f>'1ER TRIMESTRE'!BM23</f>
        <v/>
      </c>
      <c r="BU23" s="425"/>
      <c r="BV23" s="425"/>
      <c r="BW23" s="82"/>
      <c r="BX23" s="82"/>
      <c r="BY23" s="82"/>
      <c r="BZ23" s="39"/>
      <c r="CA23" s="531" t="str">
        <f t="shared" si="9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33" t="str">
        <f>IF(FILIACIÓN!B22="","",UPPER(FILIACIÓN!B22))</f>
        <v/>
      </c>
      <c r="C24" s="734"/>
      <c r="D24" s="735"/>
      <c r="E24" s="465" t="str">
        <f>'ASISTENCIA 2'!CD25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 t="str">
        <f>'1ER TRIMESTRE'!BM24</f>
        <v/>
      </c>
      <c r="BU24" s="425"/>
      <c r="BV24" s="425"/>
      <c r="BW24" s="82"/>
      <c r="BX24" s="82"/>
      <c r="BY24" s="82"/>
      <c r="BZ24" s="39"/>
      <c r="CA24" s="531" t="str">
        <f t="shared" si="9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33" t="str">
        <f>IF(FILIACIÓN!B23="","",UPPER(FILIACIÓN!B23))</f>
        <v/>
      </c>
      <c r="C25" s="734"/>
      <c r="D25" s="735"/>
      <c r="E25" s="465" t="str">
        <f>'ASISTENCIA 2'!CD26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 t="str">
        <f>'1ER TRIMESTRE'!BM25</f>
        <v/>
      </c>
      <c r="BU25" s="425"/>
      <c r="BV25" s="425"/>
      <c r="BW25" s="82"/>
      <c r="BX25" s="82"/>
      <c r="BY25" s="82"/>
      <c r="BZ25" s="39"/>
      <c r="CA25" s="531" t="str">
        <f t="shared" si="9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33" t="str">
        <f>IF(FILIACIÓN!B24="","",UPPER(FILIACIÓN!B24))</f>
        <v/>
      </c>
      <c r="C26" s="734"/>
      <c r="D26" s="735"/>
      <c r="E26" s="465" t="str">
        <f>'ASISTENCIA 2'!CD27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 t="str">
        <f>'1ER TRIMESTRE'!BM26</f>
        <v/>
      </c>
      <c r="BU26" s="425"/>
      <c r="BV26" s="425"/>
      <c r="BW26" s="82"/>
      <c r="BX26" s="82"/>
      <c r="BY26" s="82"/>
      <c r="BZ26" s="39"/>
      <c r="CA26" s="531" t="str">
        <f t="shared" si="9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33" t="str">
        <f>IF(FILIACIÓN!B25="","",UPPER(FILIACIÓN!B25))</f>
        <v/>
      </c>
      <c r="C27" s="734"/>
      <c r="D27" s="735"/>
      <c r="E27" s="465" t="str">
        <f>'ASISTENCIA 2'!CD28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 t="str">
        <f>'1ER TRIMESTRE'!BM27</f>
        <v/>
      </c>
      <c r="BU27" s="425"/>
      <c r="BV27" s="425"/>
      <c r="BW27" s="82"/>
      <c r="BX27" s="82"/>
      <c r="BY27" s="82"/>
      <c r="BZ27" s="39"/>
      <c r="CA27" s="531" t="str">
        <f t="shared" si="9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33" t="str">
        <f>IF(FILIACIÓN!B26="","",UPPER(FILIACIÓN!B26))</f>
        <v/>
      </c>
      <c r="C28" s="734"/>
      <c r="D28" s="735"/>
      <c r="E28" s="465" t="str">
        <f>'ASISTENCIA 2'!CD29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 t="str">
        <f>'1ER TRIMESTRE'!BM28</f>
        <v/>
      </c>
      <c r="BU28" s="425"/>
      <c r="BV28" s="425"/>
      <c r="BW28" s="82"/>
      <c r="BX28" s="82"/>
      <c r="BY28" s="82"/>
      <c r="BZ28" s="39"/>
      <c r="CA28" s="531" t="str">
        <f t="shared" si="9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33" t="str">
        <f>IF(FILIACIÓN!B27="","",UPPER(FILIACIÓN!B27))</f>
        <v/>
      </c>
      <c r="C29" s="734"/>
      <c r="D29" s="735"/>
      <c r="E29" s="465" t="str">
        <f>'ASISTENCIA 2'!CD30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 t="str">
        <f>'1ER TRIMESTRE'!BM29</f>
        <v/>
      </c>
      <c r="BU29" s="425"/>
      <c r="BV29" s="425"/>
      <c r="BW29" s="82"/>
      <c r="BX29" s="82"/>
      <c r="BY29" s="82"/>
      <c r="BZ29" s="39"/>
      <c r="CA29" s="531" t="str">
        <f t="shared" si="9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33" t="str">
        <f>IF(FILIACIÓN!B28="","",UPPER(FILIACIÓN!B28))</f>
        <v/>
      </c>
      <c r="C30" s="734"/>
      <c r="D30" s="735"/>
      <c r="E30" s="465" t="str">
        <f>'ASISTENCIA 2'!CD31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 t="str">
        <f>'1ER TRIMESTRE'!BM30</f>
        <v/>
      </c>
      <c r="BU30" s="425"/>
      <c r="BV30" s="425"/>
      <c r="BW30" s="82"/>
      <c r="BX30" s="82"/>
      <c r="BY30" s="82"/>
      <c r="BZ30" s="39"/>
      <c r="CA30" s="531" t="str">
        <f t="shared" si="9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33" t="str">
        <f>IF(FILIACIÓN!B29="","",UPPER(FILIACIÓN!B29))</f>
        <v/>
      </c>
      <c r="C31" s="734"/>
      <c r="D31" s="735"/>
      <c r="E31" s="465" t="str">
        <f>'ASISTENCIA 2'!CD32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 t="str">
        <f>'1ER TRIMESTRE'!BM31</f>
        <v/>
      </c>
      <c r="BU31" s="425"/>
      <c r="BV31" s="425"/>
      <c r="BW31" s="82"/>
      <c r="BX31" s="82"/>
      <c r="BY31" s="82"/>
      <c r="BZ31" s="39"/>
      <c r="CA31" s="531" t="str">
        <f t="shared" si="9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33" t="str">
        <f>IF(FILIACIÓN!B30="","",UPPER(FILIACIÓN!B30))</f>
        <v/>
      </c>
      <c r="C32" s="734"/>
      <c r="D32" s="735"/>
      <c r="E32" s="465" t="str">
        <f>'ASISTENCIA 2'!CD33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 t="str">
        <f>'1ER TRIMESTRE'!BM32</f>
        <v/>
      </c>
      <c r="BU32" s="425"/>
      <c r="BV32" s="425"/>
      <c r="BW32" s="82"/>
      <c r="BX32" s="82"/>
      <c r="BY32" s="82"/>
      <c r="BZ32" s="39"/>
      <c r="CA32" s="531" t="str">
        <f t="shared" si="9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33" t="str">
        <f>IF(FILIACIÓN!B31="","",UPPER(FILIACIÓN!B31))</f>
        <v/>
      </c>
      <c r="C33" s="734"/>
      <c r="D33" s="735"/>
      <c r="E33" s="465" t="str">
        <f>'ASISTENCIA 2'!CD34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 t="str">
        <f>'1ER TRIMESTRE'!BM33</f>
        <v/>
      </c>
      <c r="BU33" s="425"/>
      <c r="BV33" s="425"/>
      <c r="BW33" s="82"/>
      <c r="BX33" s="82"/>
      <c r="BY33" s="82"/>
      <c r="BZ33" s="39"/>
      <c r="CA33" s="531" t="str">
        <f t="shared" si="9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33" t="str">
        <f>IF(FILIACIÓN!B32="","",UPPER(FILIACIÓN!B32))</f>
        <v/>
      </c>
      <c r="C34" s="734"/>
      <c r="D34" s="735"/>
      <c r="E34" s="465" t="str">
        <f>'ASISTENCIA 2'!CD35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 t="str">
        <f>'1ER TRIMESTRE'!BM34</f>
        <v/>
      </c>
      <c r="BU34" s="425"/>
      <c r="BV34" s="425"/>
      <c r="BW34" s="82"/>
      <c r="BX34" s="82"/>
      <c r="BY34" s="82"/>
      <c r="BZ34" s="39"/>
      <c r="CA34" s="531" t="str">
        <f t="shared" si="9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33" t="str">
        <f>IF(FILIACIÓN!B33="","",UPPER(FILIACIÓN!B33))</f>
        <v/>
      </c>
      <c r="C35" s="734"/>
      <c r="D35" s="735"/>
      <c r="E35" s="465" t="str">
        <f>'ASISTENCIA 2'!CD36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 t="str">
        <f>'1ER TRIMESTRE'!BM35</f>
        <v/>
      </c>
      <c r="BU35" s="425"/>
      <c r="BV35" s="425"/>
      <c r="BW35" s="82"/>
      <c r="BX35" s="82"/>
      <c r="BY35" s="82"/>
      <c r="BZ35" s="39"/>
      <c r="CA35" s="531" t="str">
        <f t="shared" si="9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33" t="str">
        <f>IF(FILIACIÓN!B34="","",UPPER(FILIACIÓN!B34))</f>
        <v/>
      </c>
      <c r="C36" s="734"/>
      <c r="D36" s="735"/>
      <c r="E36" s="465" t="str">
        <f>'ASISTENCIA 2'!CD37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 t="str">
        <f>'1ER TRIMESTRE'!BM36</f>
        <v/>
      </c>
      <c r="BU36" s="425"/>
      <c r="BV36" s="425"/>
      <c r="BW36" s="82"/>
      <c r="BX36" s="82"/>
      <c r="BY36" s="82"/>
      <c r="BZ36" s="39"/>
      <c r="CA36" s="531" t="str">
        <f t="shared" si="9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33" t="str">
        <f>IF(FILIACIÓN!B35="","",UPPER(FILIACIÓN!B35))</f>
        <v/>
      </c>
      <c r="C37" s="734"/>
      <c r="D37" s="735"/>
      <c r="E37" s="465" t="str">
        <f>'ASISTENCIA 2'!CD38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 t="str">
        <f>'1ER TRIMESTRE'!BM37</f>
        <v/>
      </c>
      <c r="BU37" s="425"/>
      <c r="BV37" s="425"/>
      <c r="BW37" s="82"/>
      <c r="BX37" s="82"/>
      <c r="BY37" s="82"/>
      <c r="BZ37" s="39"/>
      <c r="CA37" s="531" t="str">
        <f t="shared" si="9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33" t="str">
        <f>IF(FILIACIÓN!B36="","",UPPER(FILIACIÓN!B36))</f>
        <v/>
      </c>
      <c r="C38" s="734"/>
      <c r="D38" s="735"/>
      <c r="E38" s="465" t="str">
        <f>'ASISTENCIA 2'!CD39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 t="str">
        <f>'1ER TRIMESTRE'!BM38</f>
        <v/>
      </c>
      <c r="BU38" s="425"/>
      <c r="BV38" s="425"/>
      <c r="BW38" s="82"/>
      <c r="BX38" s="82"/>
      <c r="BY38" s="82"/>
      <c r="BZ38" s="39"/>
      <c r="CA38" s="531" t="str">
        <f t="shared" si="9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33" t="str">
        <f>IF(FILIACIÓN!B37="","",UPPER(FILIACIÓN!B37))</f>
        <v/>
      </c>
      <c r="C39" s="734"/>
      <c r="D39" s="735"/>
      <c r="E39" s="465" t="str">
        <f>'ASISTENCIA 2'!CD40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 t="str">
        <f>'1ER TRIMESTRE'!BM39</f>
        <v/>
      </c>
      <c r="BU39" s="425"/>
      <c r="BV39" s="425"/>
      <c r="BW39" s="82"/>
      <c r="BX39" s="82"/>
      <c r="BY39" s="82"/>
      <c r="BZ39" s="39"/>
      <c r="CA39" s="531" t="str">
        <f t="shared" si="9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33" t="str">
        <f>IF(FILIACIÓN!B38="","",UPPER(FILIACIÓN!B38))</f>
        <v/>
      </c>
      <c r="C40" s="734"/>
      <c r="D40" s="735"/>
      <c r="E40" s="465" t="str">
        <f>'ASISTENCIA 2'!CD41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 t="str">
        <f>'1ER TRIMESTRE'!BM40</f>
        <v/>
      </c>
      <c r="BU40" s="425"/>
      <c r="BV40" s="425"/>
      <c r="BW40" s="82"/>
      <c r="BX40" s="82"/>
      <c r="BY40" s="82"/>
      <c r="BZ40" s="39"/>
      <c r="CA40" s="531" t="str">
        <f t="shared" si="9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33" t="str">
        <f>IF(FILIACIÓN!B39="","",UPPER(FILIACIÓN!B39))</f>
        <v/>
      </c>
      <c r="C41" s="734"/>
      <c r="D41" s="735"/>
      <c r="E41" s="465" t="str">
        <f>'ASISTENCIA 2'!CD42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 t="str">
        <f>'1ER TRIMESTRE'!BM41</f>
        <v/>
      </c>
      <c r="BU41" s="425"/>
      <c r="BV41" s="425"/>
      <c r="BW41" s="82"/>
      <c r="BX41" s="82"/>
      <c r="BY41" s="82"/>
      <c r="BZ41" s="39"/>
      <c r="CA41" s="531" t="str">
        <f t="shared" si="9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33" t="str">
        <f>IF(FILIACIÓN!B40="","",UPPER(FILIACIÓN!B40))</f>
        <v/>
      </c>
      <c r="C42" s="734"/>
      <c r="D42" s="735"/>
      <c r="E42" s="465" t="str">
        <f>'ASISTENCIA 2'!CD43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 t="str">
        <f>'1ER TRIMESTRE'!BM42</f>
        <v/>
      </c>
      <c r="BU42" s="425"/>
      <c r="BV42" s="425"/>
      <c r="BW42" s="82"/>
      <c r="BX42" s="82"/>
      <c r="BY42" s="82"/>
      <c r="BZ42" s="39"/>
      <c r="CA42" s="531" t="str">
        <f t="shared" si="9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33" t="str">
        <f>IF(FILIACIÓN!B41="","",UPPER(FILIACIÓN!B41))</f>
        <v/>
      </c>
      <c r="C43" s="734"/>
      <c r="D43" s="735"/>
      <c r="E43" s="465" t="str">
        <f>'ASISTENCIA 2'!CD44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 t="str">
        <f>'1ER TRIMESTRE'!BM43</f>
        <v/>
      </c>
      <c r="BU43" s="425"/>
      <c r="BV43" s="425"/>
      <c r="BW43" s="82"/>
      <c r="BX43" s="82"/>
      <c r="BY43" s="82"/>
      <c r="BZ43" s="39"/>
      <c r="CA43" s="531" t="str">
        <f t="shared" si="9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33" t="str">
        <f>IF(FILIACIÓN!B42="","",UPPER(FILIACIÓN!B42))</f>
        <v/>
      </c>
      <c r="C44" s="734"/>
      <c r="D44" s="735"/>
      <c r="E44" s="465" t="str">
        <f>'ASISTENCIA 2'!CD45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 t="str">
        <f>'1ER TRIMESTRE'!BM44</f>
        <v/>
      </c>
      <c r="BU44" s="425"/>
      <c r="BV44" s="425"/>
      <c r="BW44" s="82"/>
      <c r="BX44" s="82"/>
      <c r="BY44" s="82"/>
      <c r="BZ44" s="39"/>
      <c r="CA44" s="531" t="str">
        <f t="shared" si="9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33" t="str">
        <f>IF(FILIACIÓN!B43="","",UPPER(FILIACIÓN!B43))</f>
        <v/>
      </c>
      <c r="C45" s="734"/>
      <c r="D45" s="735"/>
      <c r="E45" s="465" t="str">
        <f>'ASISTENCIA 2'!CD46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 t="str">
        <f>'1ER TRIMESTRE'!BM45</f>
        <v/>
      </c>
      <c r="BU45" s="425"/>
      <c r="BV45" s="425"/>
      <c r="BW45" s="82"/>
      <c r="BX45" s="82"/>
      <c r="BY45" s="82"/>
      <c r="BZ45" s="39"/>
      <c r="CA45" s="531" t="str">
        <f t="shared" si="9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33" t="str">
        <f>IF(FILIACIÓN!B44="","",UPPER(FILIACIÓN!B44))</f>
        <v/>
      </c>
      <c r="C46" s="734"/>
      <c r="D46" s="735"/>
      <c r="E46" s="465" t="str">
        <f>'ASISTENCIA 2'!CD47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 t="str">
        <f>'1ER TRIMESTRE'!BM46</f>
        <v/>
      </c>
      <c r="BU46" s="425"/>
      <c r="BV46" s="425"/>
      <c r="BW46" s="82"/>
      <c r="BX46" s="82"/>
      <c r="BY46" s="82"/>
      <c r="BZ46" s="39"/>
      <c r="CA46" s="531" t="str">
        <f t="shared" si="9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33" t="str">
        <f>IF(FILIACIÓN!B45="","",UPPER(FILIACIÓN!B45))</f>
        <v/>
      </c>
      <c r="C47" s="734"/>
      <c r="D47" s="735"/>
      <c r="E47" s="465" t="str">
        <f>'ASISTENCIA 2'!CD48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 t="str">
        <f>'1ER TRIMESTRE'!BM47</f>
        <v/>
      </c>
      <c r="BU47" s="425"/>
      <c r="BV47" s="425"/>
      <c r="BW47" s="82"/>
      <c r="BX47" s="82"/>
      <c r="BY47" s="82"/>
      <c r="BZ47" s="39"/>
      <c r="CA47" s="531" t="str">
        <f t="shared" si="9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33" t="str">
        <f>IF(FILIACIÓN!B46="","",UPPER(FILIACIÓN!B46))</f>
        <v/>
      </c>
      <c r="C48" s="734"/>
      <c r="D48" s="735"/>
      <c r="E48" s="465" t="str">
        <f>'ASISTENCIA 2'!CD49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 t="str">
        <f>'1ER TRIMESTRE'!BM48</f>
        <v/>
      </c>
      <c r="BU48" s="425"/>
      <c r="BV48" s="425"/>
      <c r="BW48" s="82"/>
      <c r="BX48" s="82"/>
      <c r="BY48" s="82"/>
      <c r="BZ48" s="39"/>
      <c r="CA48" s="531" t="str">
        <f t="shared" si="9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33" t="str">
        <f>IF(FILIACIÓN!B47="","",UPPER(FILIACIÓN!B47))</f>
        <v/>
      </c>
      <c r="C49" s="734"/>
      <c r="D49" s="735"/>
      <c r="E49" s="465" t="str">
        <f>'ASISTENCIA 2'!CD50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 t="str">
        <f>'1ER TRIMESTRE'!BM49</f>
        <v/>
      </c>
      <c r="BU49" s="425"/>
      <c r="BV49" s="425"/>
      <c r="BW49" s="82"/>
      <c r="BX49" s="82"/>
      <c r="BY49" s="82"/>
      <c r="BZ49" s="39"/>
      <c r="CA49" s="531" t="str">
        <f t="shared" si="9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33" t="str">
        <f>IF(FILIACIÓN!B48="","",UPPER(FILIACIÓN!B48))</f>
        <v/>
      </c>
      <c r="C50" s="734"/>
      <c r="D50" s="735"/>
      <c r="E50" s="465" t="str">
        <f>'ASISTENCIA 2'!CD51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 t="str">
        <f>'1ER TRIMESTRE'!BM50</f>
        <v/>
      </c>
      <c r="BU50" s="425"/>
      <c r="BV50" s="425"/>
      <c r="BW50" s="82"/>
      <c r="BX50" s="82"/>
      <c r="BY50" s="82"/>
      <c r="BZ50" s="39"/>
      <c r="CA50" s="531" t="str">
        <f t="shared" si="9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33" t="str">
        <f>IF(FILIACIÓN!B49="","",UPPER(FILIACIÓN!B49))</f>
        <v/>
      </c>
      <c r="C51" s="734"/>
      <c r="D51" s="735"/>
      <c r="E51" s="465" t="str">
        <f>'ASISTENCIA 2'!CD52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 t="str">
        <f>'1ER TRIMESTRE'!BM51</f>
        <v/>
      </c>
      <c r="BU51" s="425"/>
      <c r="BV51" s="425"/>
      <c r="BW51" s="82"/>
      <c r="BX51" s="82"/>
      <c r="BY51" s="82"/>
      <c r="BZ51" s="39"/>
      <c r="CA51" s="531" t="str">
        <f t="shared" si="9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33" t="str">
        <f>IF(FILIACIÓN!B50="","",UPPER(FILIACIÓN!B50))</f>
        <v/>
      </c>
      <c r="C52" s="734"/>
      <c r="D52" s="735"/>
      <c r="E52" s="465" t="str">
        <f>'ASISTENCIA 2'!CD53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 t="str">
        <f>'1ER TRIMESTRE'!BM52</f>
        <v/>
      </c>
      <c r="BU52" s="425"/>
      <c r="BV52" s="425"/>
      <c r="BW52" s="82"/>
      <c r="BX52" s="82"/>
      <c r="BY52" s="82"/>
      <c r="BZ52" s="39"/>
      <c r="CA52" s="531" t="str">
        <f t="shared" si="9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33" t="str">
        <f>IF(FILIACIÓN!B51="","",UPPER(FILIACIÓN!B51))</f>
        <v/>
      </c>
      <c r="C53" s="734"/>
      <c r="D53" s="735"/>
      <c r="E53" s="465" t="str">
        <f>'ASISTENCIA 2'!CD54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 t="str">
        <f>'1ER TRIMESTRE'!BM53</f>
        <v/>
      </c>
      <c r="BU53" s="425"/>
      <c r="BV53" s="425"/>
      <c r="BW53" s="82"/>
      <c r="BX53" s="82"/>
      <c r="BY53" s="82"/>
      <c r="BZ53" s="39"/>
      <c r="CA53" s="531" t="str">
        <f t="shared" si="9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33" t="str">
        <f>IF(FILIACIÓN!B52="","",UPPER(FILIACIÓN!B52))</f>
        <v/>
      </c>
      <c r="C54" s="734"/>
      <c r="D54" s="735"/>
      <c r="E54" s="465" t="str">
        <f>'ASISTENCIA 2'!CD55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 t="str">
        <f>'1ER TRIMESTRE'!BM54</f>
        <v/>
      </c>
      <c r="BU54" s="425"/>
      <c r="BV54" s="425"/>
      <c r="BW54" s="82"/>
      <c r="BX54" s="82"/>
      <c r="BY54" s="82"/>
      <c r="BZ54" s="39"/>
      <c r="CA54" s="531" t="str">
        <f t="shared" si="9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33" t="str">
        <f>IF(FILIACIÓN!B53="","",UPPER(FILIACIÓN!B53))</f>
        <v/>
      </c>
      <c r="C55" s="734"/>
      <c r="D55" s="735"/>
      <c r="E55" s="465" t="str">
        <f>'ASISTENCIA 2'!CD56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 t="str">
        <f>'1ER TRIMESTRE'!BM55</f>
        <v/>
      </c>
      <c r="BU55" s="425"/>
      <c r="BV55" s="425"/>
      <c r="BW55" s="82"/>
      <c r="BX55" s="82"/>
      <c r="BY55" s="82"/>
      <c r="BZ55" s="39"/>
      <c r="CA55" s="531" t="str">
        <f t="shared" si="9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33" t="str">
        <f>IF(FILIACIÓN!B54="","",UPPER(FILIACIÓN!B54))</f>
        <v/>
      </c>
      <c r="C56" s="734"/>
      <c r="D56" s="735"/>
      <c r="E56" s="465" t="str">
        <f>'ASISTENCIA 2'!CD57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0">IF(SUM(O56,AF56,AW56,BI56,BK56)=0,"",ROUND(SUM(O56,AF56,AW56,BI56,BK56),0))</f>
        <v/>
      </c>
      <c r="BN56" s="462" t="str">
        <f t="shared" ref="BN56:BN60" si="11">IF(SUM(O56,AF56,AW56,BI56,BK56)=0,"",SUM(O56,AF56,AW56,BI56,BK56))</f>
        <v/>
      </c>
      <c r="BO56" s="192" t="str">
        <f t="shared" ref="BO56:BO60" si="12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3">IF(OR(BM56="",BM56=0),"",IF(BM56&gt;=51,"APROBADO","REPROBADO"))</f>
        <v/>
      </c>
      <c r="BR56" s="460" t="str">
        <f t="shared" ref="BR56:BR60" si="14">IF(OR(BN56="",BN56=0),"",_xlfn.RANK.EQ(BN56,$BN$13:$BN$62))</f>
        <v/>
      </c>
      <c r="BS56" s="460"/>
      <c r="BT56" s="535" t="str">
        <f>'1ER TRIMESTRE'!BM56</f>
        <v/>
      </c>
      <c r="BU56" s="535"/>
      <c r="BV56" s="535"/>
      <c r="BW56" s="534"/>
      <c r="BX56" s="534"/>
      <c r="BY56" s="534"/>
      <c r="BZ56" s="39"/>
      <c r="CA56" s="531" t="str">
        <f t="shared" ref="CA56:CA60" si="15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33" t="str">
        <f>IF(FILIACIÓN!B55="","",UPPER(FILIACIÓN!B55))</f>
        <v/>
      </c>
      <c r="C57" s="734"/>
      <c r="D57" s="735"/>
      <c r="E57" s="465" t="str">
        <f>'ASISTENCIA 2'!CD58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0"/>
        <v/>
      </c>
      <c r="BN57" s="462" t="str">
        <f t="shared" si="11"/>
        <v/>
      </c>
      <c r="BO57" s="192" t="str">
        <f t="shared" si="12"/>
        <v xml:space="preserve"> </v>
      </c>
      <c r="BP57" s="460" t="str">
        <f>FILIACIÓN!Y55</f>
        <v/>
      </c>
      <c r="BQ57" s="460" t="str">
        <f t="shared" si="13"/>
        <v/>
      </c>
      <c r="BR57" s="460" t="str">
        <f t="shared" si="14"/>
        <v/>
      </c>
      <c r="BS57" s="460"/>
      <c r="BT57" s="535" t="str">
        <f>'1ER TRIMESTRE'!BM57</f>
        <v/>
      </c>
      <c r="BU57" s="535"/>
      <c r="BV57" s="535"/>
      <c r="BW57" s="534"/>
      <c r="BX57" s="534"/>
      <c r="BY57" s="534"/>
      <c r="BZ57" s="39"/>
      <c r="CA57" s="531" t="str">
        <f t="shared" si="15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33" t="str">
        <f>IF(FILIACIÓN!B56="","",UPPER(FILIACIÓN!B56))</f>
        <v/>
      </c>
      <c r="C58" s="734"/>
      <c r="D58" s="735"/>
      <c r="E58" s="465" t="str">
        <f>'ASISTENCIA 2'!CD59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0"/>
        <v/>
      </c>
      <c r="BN58" s="462" t="str">
        <f t="shared" si="11"/>
        <v/>
      </c>
      <c r="BO58" s="192" t="str">
        <f t="shared" si="12"/>
        <v xml:space="preserve"> </v>
      </c>
      <c r="BP58" s="460" t="str">
        <f>FILIACIÓN!Y56</f>
        <v/>
      </c>
      <c r="BQ58" s="460" t="str">
        <f t="shared" si="13"/>
        <v/>
      </c>
      <c r="BR58" s="460" t="str">
        <f t="shared" si="14"/>
        <v/>
      </c>
      <c r="BS58" s="460"/>
      <c r="BT58" s="535" t="str">
        <f>'1ER TRIMESTRE'!BM58</f>
        <v/>
      </c>
      <c r="BU58" s="535"/>
      <c r="BV58" s="535"/>
      <c r="BW58" s="534"/>
      <c r="BX58" s="534"/>
      <c r="BY58" s="534"/>
      <c r="BZ58" s="39"/>
      <c r="CA58" s="531" t="str">
        <f t="shared" si="15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33" t="str">
        <f>IF(FILIACIÓN!B57="","",UPPER(FILIACIÓN!B57))</f>
        <v/>
      </c>
      <c r="C59" s="734"/>
      <c r="D59" s="735"/>
      <c r="E59" s="465" t="str">
        <f>'ASISTENCIA 2'!CD60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0"/>
        <v/>
      </c>
      <c r="BN59" s="462" t="str">
        <f t="shared" si="11"/>
        <v/>
      </c>
      <c r="BO59" s="192" t="str">
        <f t="shared" si="12"/>
        <v xml:space="preserve"> </v>
      </c>
      <c r="BP59" s="460" t="str">
        <f>FILIACIÓN!Y57</f>
        <v/>
      </c>
      <c r="BQ59" s="460" t="str">
        <f t="shared" si="13"/>
        <v/>
      </c>
      <c r="BR59" s="460" t="str">
        <f t="shared" si="14"/>
        <v/>
      </c>
      <c r="BS59" s="460"/>
      <c r="BT59" s="535" t="str">
        <f>'1ER TRIMESTRE'!BM59</f>
        <v/>
      </c>
      <c r="BU59" s="535"/>
      <c r="BV59" s="535"/>
      <c r="BW59" s="534"/>
      <c r="BX59" s="534"/>
      <c r="BY59" s="534"/>
      <c r="BZ59" s="39"/>
      <c r="CA59" s="531" t="str">
        <f t="shared" si="15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33" t="str">
        <f>IF(FILIACIÓN!B58="","",UPPER(FILIACIÓN!B58))</f>
        <v/>
      </c>
      <c r="C60" s="734"/>
      <c r="D60" s="735"/>
      <c r="E60" s="465" t="str">
        <f>'ASISTENCIA 2'!CD61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0"/>
        <v/>
      </c>
      <c r="BN60" s="462" t="str">
        <f t="shared" si="11"/>
        <v/>
      </c>
      <c r="BO60" s="192" t="str">
        <f t="shared" si="12"/>
        <v xml:space="preserve"> </v>
      </c>
      <c r="BP60" s="460" t="str">
        <f>FILIACIÓN!Y58</f>
        <v/>
      </c>
      <c r="BQ60" s="460" t="str">
        <f t="shared" si="13"/>
        <v/>
      </c>
      <c r="BR60" s="460" t="str">
        <f t="shared" si="14"/>
        <v/>
      </c>
      <c r="BS60" s="460"/>
      <c r="BT60" s="535" t="str">
        <f>'1ER TRIMESTRE'!BM60</f>
        <v/>
      </c>
      <c r="BU60" s="535"/>
      <c r="BV60" s="535"/>
      <c r="BW60" s="534"/>
      <c r="BX60" s="534"/>
      <c r="BY60" s="534"/>
      <c r="BZ60" s="39"/>
      <c r="CA60" s="531" t="str">
        <f t="shared" si="15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33" t="str">
        <f>IF(FILIACIÓN!B59="","",UPPER(FILIACIÓN!B59))</f>
        <v/>
      </c>
      <c r="C61" s="734"/>
      <c r="D61" s="735"/>
      <c r="E61" s="465" t="str">
        <f>'ASISTENCIA 2'!CD62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 t="str">
        <f>'1ER TRIMESTRE'!BM61</f>
        <v/>
      </c>
      <c r="BU61" s="425"/>
      <c r="BV61" s="425"/>
      <c r="BW61" s="82"/>
      <c r="BX61" s="82"/>
      <c r="BY61" s="82"/>
      <c r="BZ61" s="39"/>
      <c r="CA61" s="531" t="str">
        <f t="shared" si="9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42" t="str">
        <f>IF(FILIACIÓN!B60="","",UPPER(FILIACIÓN!B60))</f>
        <v/>
      </c>
      <c r="C62" s="743"/>
      <c r="D62" s="744"/>
      <c r="E62" s="466" t="str">
        <f>'ASISTENCIA 2'!CD63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6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 t="str">
        <f>'1ER TRIMESTRE'!BM62</f>
        <v/>
      </c>
      <c r="BU62" s="425"/>
      <c r="BV62" s="425"/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6"/>
      <c r="C63" s="6"/>
      <c r="D63" s="6"/>
      <c r="E63" s="6"/>
      <c r="F63" s="351"/>
      <c r="G63" s="351"/>
      <c r="H63" s="351"/>
      <c r="I63" s="351"/>
      <c r="J63" s="351"/>
      <c r="K63" s="351"/>
      <c r="L63" s="351"/>
      <c r="M63" s="6"/>
      <c r="N63" s="6"/>
      <c r="O63" s="23"/>
      <c r="AY63" s="6"/>
      <c r="AZ63" s="351"/>
      <c r="BA63" s="351"/>
      <c r="BB63" s="351"/>
      <c r="BC63" s="351"/>
      <c r="BD63" s="351"/>
      <c r="BE63" s="351"/>
      <c r="BF63" s="351"/>
      <c r="BG63" s="6"/>
      <c r="BH63" s="6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97" ht="15" customHeight="1">
      <c r="B65" s="218" t="s">
        <v>214</v>
      </c>
      <c r="C65" s="216" t="s">
        <v>218</v>
      </c>
      <c r="D65" s="242" t="s">
        <v>222</v>
      </c>
    </row>
    <row r="66" spans="2:97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87"/>
      <c r="R66" s="687"/>
      <c r="S66" s="687"/>
      <c r="T66" s="687"/>
      <c r="U66" s="687"/>
      <c r="V66" s="687"/>
      <c r="W66" s="687"/>
      <c r="X66" s="687"/>
      <c r="Y66" s="687"/>
      <c r="Z66" s="687"/>
      <c r="AA66" s="687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97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97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7"/>
      <c r="AC68" s="267"/>
      <c r="AD68" s="267"/>
      <c r="AE68" s="267"/>
      <c r="AF68" s="274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97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7"/>
      <c r="AC69" s="267"/>
      <c r="AD69" s="267"/>
      <c r="AE69" s="267"/>
      <c r="AF69" s="274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97" ht="18.75" customHeight="1">
      <c r="B70" s="512" t="s">
        <v>314</v>
      </c>
      <c r="C70" s="512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71"/>
      <c r="AC70" s="271"/>
      <c r="AD70" s="271"/>
      <c r="AE70" s="271"/>
      <c r="AF70" s="274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97" ht="18.75" customHeight="1">
      <c r="B71" s="513" t="s">
        <v>259</v>
      </c>
      <c r="C71" s="514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3"/>
      <c r="AC71" s="263"/>
      <c r="AD71" s="263"/>
      <c r="AE71" s="263"/>
      <c r="AF71" s="264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97" ht="15" customHeight="1">
      <c r="B72" s="513" t="s">
        <v>315</v>
      </c>
      <c r="C72" s="514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97" ht="19.5" customHeight="1">
      <c r="B73" s="513" t="s">
        <v>316</v>
      </c>
      <c r="C73" s="514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</row>
    <row r="74" spans="2:97" ht="19.5" customHeight="1">
      <c r="B74" s="513" t="s">
        <v>260</v>
      </c>
      <c r="C74" s="514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</row>
    <row r="75" spans="2:97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</row>
    <row r="76" spans="2:97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</row>
    <row r="77" spans="2:97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97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</row>
    <row r="79" spans="2:97" ht="15" hidden="1" customHeight="1">
      <c r="B79" s="511">
        <v>1</v>
      </c>
      <c r="C79" s="511">
        <v>1</v>
      </c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</row>
    <row r="80" spans="2:97" ht="15" hidden="1" customHeight="1">
      <c r="B80" s="511">
        <v>2</v>
      </c>
      <c r="C80" s="511">
        <v>2</v>
      </c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</row>
    <row r="81" spans="2:97" ht="15" hidden="1" customHeight="1">
      <c r="B81" s="511">
        <v>3</v>
      </c>
      <c r="C81" s="511">
        <v>3</v>
      </c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</row>
    <row r="82" spans="2:97" ht="15" hidden="1" customHeight="1">
      <c r="B82" s="511">
        <v>4</v>
      </c>
      <c r="C82" s="511">
        <v>4</v>
      </c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</row>
    <row r="83" spans="2:97" ht="15" hidden="1" customHeight="1">
      <c r="B83" s="511">
        <v>5</v>
      </c>
      <c r="C83" s="511">
        <v>5</v>
      </c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</row>
    <row r="84" spans="2:97" ht="15" hidden="1" customHeight="1">
      <c r="B84" s="511">
        <v>6</v>
      </c>
      <c r="C84" s="511">
        <v>6</v>
      </c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</row>
    <row r="85" spans="2:97" ht="15" hidden="1" customHeight="1">
      <c r="B85" s="511">
        <v>7</v>
      </c>
      <c r="C85" s="511">
        <v>7</v>
      </c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</row>
    <row r="86" spans="2:97" ht="15" hidden="1" customHeight="1">
      <c r="B86" s="511">
        <v>8</v>
      </c>
      <c r="C86" s="511">
        <v>8</v>
      </c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</row>
    <row r="87" spans="2:97" ht="15" hidden="1" customHeight="1">
      <c r="B87" s="511">
        <v>9</v>
      </c>
      <c r="C87" s="511">
        <v>9</v>
      </c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</row>
    <row r="88" spans="2:97" ht="15" hidden="1" customHeight="1">
      <c r="B88" s="511">
        <v>10</v>
      </c>
      <c r="C88" s="511">
        <v>10</v>
      </c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</row>
    <row r="89" spans="2:97" ht="15" hidden="1" customHeight="1">
      <c r="B89" s="511"/>
      <c r="C89" s="511">
        <v>11</v>
      </c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</row>
    <row r="90" spans="2:97" ht="15" hidden="1" customHeight="1">
      <c r="B90" s="511"/>
      <c r="C90" s="511">
        <v>12</v>
      </c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</row>
    <row r="91" spans="2:97" ht="15" hidden="1" customHeight="1">
      <c r="B91" s="511"/>
      <c r="C91" s="511">
        <v>13</v>
      </c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</row>
    <row r="92" spans="2:97" ht="15" hidden="1" customHeight="1">
      <c r="B92" s="511"/>
      <c r="C92" s="511">
        <v>14</v>
      </c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</row>
    <row r="93" spans="2:97" ht="15" hidden="1" customHeight="1">
      <c r="B93" s="511"/>
      <c r="C93" s="511">
        <v>15</v>
      </c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</row>
    <row r="94" spans="2:97" ht="15" customHeight="1"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</row>
    <row r="95" spans="2:97" ht="15" customHeight="1"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</row>
    <row r="96" spans="2:97" ht="15" customHeight="1"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</row>
    <row r="97" spans="77:97" ht="15" customHeight="1"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</row>
    <row r="98" spans="77:97" ht="15" customHeight="1"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</row>
    <row r="99" spans="77:97" ht="15" customHeight="1"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</row>
    <row r="100" spans="77:97" ht="15" customHeight="1"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</row>
    <row r="101" spans="77:97" ht="15" customHeight="1"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</row>
    <row r="102" spans="77:97" ht="15" customHeight="1"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</row>
    <row r="103" spans="77:97" ht="15" customHeight="1"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</row>
    <row r="104" spans="77:97" ht="15" customHeight="1"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</row>
    <row r="105" spans="77:97" ht="15" customHeight="1"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</row>
    <row r="106" spans="77:97" ht="15" customHeight="1"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</row>
    <row r="107" spans="77:97" ht="15" customHeight="1"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</row>
    <row r="108" spans="77:97" ht="15" customHeight="1"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</row>
    <row r="109" spans="77:97" ht="15" customHeight="1"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</row>
    <row r="110" spans="77:97" ht="15" customHeight="1"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</row>
    <row r="111" spans="77:97" ht="15" customHeight="1"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</row>
    <row r="112" spans="77:97" ht="15" customHeight="1"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</row>
    <row r="113" spans="77:97" ht="15" customHeight="1"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</row>
    <row r="114" spans="77:97" ht="15" customHeight="1"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</row>
  </sheetData>
  <sheetProtection password="CF7A" sheet="1" scenarios="1" autoFilter="0"/>
  <autoFilter ref="CA12:CB62"/>
  <mergeCells count="131">
    <mergeCell ref="BC7:BC12"/>
    <mergeCell ref="L7:L12"/>
    <mergeCell ref="CA10:CA12"/>
    <mergeCell ref="BR5:BR12"/>
    <mergeCell ref="E5:BK5"/>
    <mergeCell ref="BK7:BK12"/>
    <mergeCell ref="BP5:BP12"/>
    <mergeCell ref="BQ5:BQ12"/>
    <mergeCell ref="BV11:BV12"/>
    <mergeCell ref="BU11:BU12"/>
    <mergeCell ref="BT11:BT12"/>
    <mergeCell ref="BT10:BV10"/>
    <mergeCell ref="BM6:BM12"/>
    <mergeCell ref="BM5:BO5"/>
    <mergeCell ref="BN6:BN12"/>
    <mergeCell ref="BO6:BO12"/>
    <mergeCell ref="AY6:BI6"/>
    <mergeCell ref="E7:E12"/>
    <mergeCell ref="M7:M12"/>
    <mergeCell ref="N7:N12"/>
    <mergeCell ref="BD7:BD12"/>
    <mergeCell ref="BE7:BE12"/>
    <mergeCell ref="BF7:BF12"/>
    <mergeCell ref="AZ7:AZ12"/>
    <mergeCell ref="BA7:BA12"/>
    <mergeCell ref="E3:BI4"/>
    <mergeCell ref="CN2:CO3"/>
    <mergeCell ref="CL3:CM3"/>
    <mergeCell ref="CF3:CG3"/>
    <mergeCell ref="CH3:CI3"/>
    <mergeCell ref="CJ3:CK3"/>
    <mergeCell ref="CF2:CM2"/>
    <mergeCell ref="BI7:BI12"/>
    <mergeCell ref="AV7:AV12"/>
    <mergeCell ref="AW7:AW12"/>
    <mergeCell ref="AY7:AY12"/>
    <mergeCell ref="BG7:BG12"/>
    <mergeCell ref="BH7:BH12"/>
    <mergeCell ref="AH6:AW6"/>
    <mergeCell ref="O7:O12"/>
    <mergeCell ref="Q6:AF6"/>
    <mergeCell ref="AU7:AU12"/>
    <mergeCell ref="AL7:AL12"/>
    <mergeCell ref="AM7:AM12"/>
    <mergeCell ref="AN7:AN12"/>
    <mergeCell ref="AO7:AO12"/>
    <mergeCell ref="BB7:BB12"/>
    <mergeCell ref="Q7:Q12"/>
    <mergeCell ref="AT7:AT12"/>
    <mergeCell ref="AR7:AR12"/>
    <mergeCell ref="AH7:AH12"/>
    <mergeCell ref="AC7:AC12"/>
    <mergeCell ref="R7:R12"/>
    <mergeCell ref="S7:S12"/>
    <mergeCell ref="T7:T12"/>
    <mergeCell ref="U7:U12"/>
    <mergeCell ref="V7:V12"/>
    <mergeCell ref="W7:W12"/>
    <mergeCell ref="X7:X12"/>
    <mergeCell ref="Y7:Y12"/>
    <mergeCell ref="Z7:Z12"/>
    <mergeCell ref="AA7:AA12"/>
    <mergeCell ref="AP7:AP12"/>
    <mergeCell ref="AD7:AD12"/>
    <mergeCell ref="AE7:AE12"/>
    <mergeCell ref="AF7:AF12"/>
    <mergeCell ref="AB7:AB12"/>
    <mergeCell ref="AS7:AS12"/>
    <mergeCell ref="AI7:AI12"/>
    <mergeCell ref="AJ7:AJ12"/>
    <mergeCell ref="AK7:AK12"/>
    <mergeCell ref="AQ7:AQ12"/>
    <mergeCell ref="B23:D23"/>
    <mergeCell ref="B22:D22"/>
    <mergeCell ref="B21:D21"/>
    <mergeCell ref="B24:D24"/>
    <mergeCell ref="B28:D28"/>
    <mergeCell ref="B27:D27"/>
    <mergeCell ref="B26:D26"/>
    <mergeCell ref="B25:D25"/>
    <mergeCell ref="Q66:AA66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48:D48"/>
    <mergeCell ref="B47:D47"/>
    <mergeCell ref="B46:D46"/>
    <mergeCell ref="B29:D29"/>
    <mergeCell ref="B45:D45"/>
    <mergeCell ref="B44:D44"/>
    <mergeCell ref="E6:O6"/>
    <mergeCell ref="B20:D20"/>
    <mergeCell ref="B19:D19"/>
    <mergeCell ref="B18:D18"/>
    <mergeCell ref="B17:D17"/>
    <mergeCell ref="B16:D16"/>
    <mergeCell ref="B15:D15"/>
    <mergeCell ref="B14:D14"/>
    <mergeCell ref="B13:D13"/>
    <mergeCell ref="B12:D12"/>
    <mergeCell ref="H7:H12"/>
    <mergeCell ref="I7:I12"/>
    <mergeCell ref="J7:J12"/>
    <mergeCell ref="K7:K12"/>
    <mergeCell ref="F7:F12"/>
    <mergeCell ref="G7:G12"/>
    <mergeCell ref="B56:D56"/>
    <mergeCell ref="B57:D57"/>
    <mergeCell ref="B58:D58"/>
    <mergeCell ref="B59:D59"/>
    <mergeCell ref="B60:D60"/>
    <mergeCell ref="B43:D43"/>
    <mergeCell ref="B42:D42"/>
    <mergeCell ref="B31:D31"/>
    <mergeCell ref="B30:D30"/>
    <mergeCell ref="B36:D36"/>
    <mergeCell ref="B35:D35"/>
    <mergeCell ref="B34:D34"/>
    <mergeCell ref="B33:D33"/>
    <mergeCell ref="B32:D32"/>
    <mergeCell ref="B41:D41"/>
    <mergeCell ref="B40:D40"/>
    <mergeCell ref="B39:D39"/>
    <mergeCell ref="B38:D38"/>
    <mergeCell ref="B37:D37"/>
  </mergeCells>
  <conditionalFormatting sqref="BM13:BN62">
    <cfRule type="cellIs" dxfId="23" priority="27" operator="lessThan">
      <formula>51</formula>
    </cfRule>
  </conditionalFormatting>
  <conditionalFormatting sqref="BK13:BK62 Q13:AF62 AH13:AW62 AY13:BI62 BM13:BV62 A13:O62">
    <cfRule type="expression" dxfId="22" priority="21">
      <formula>ROW()=CELL("Fila")</formula>
    </cfRule>
  </conditionalFormatting>
  <conditionalFormatting sqref="E7:N7 Q7:AE7 AH7:AV7 AY7:BH7 BM6:BO12 BP5:BS5 BQ6:BQ12 BS11:BV12 BS6:BS10 E8:E12 M8:N12 Q8:Q12 AD8:AE12 AA8:AB12 AH8:AH12 AT8:AV12 AR8:AR12 AY8:AY12 BG8:BH12">
    <cfRule type="expression" dxfId="21" priority="20">
      <formula>COLUMN()=CELL("Columna")</formula>
    </cfRule>
  </conditionalFormatting>
  <conditionalFormatting sqref="CA13:CA62">
    <cfRule type="top10" dxfId="20" priority="654" bottom="1" rank="10"/>
  </conditionalFormatting>
  <conditionalFormatting sqref="BT13:BT62">
    <cfRule type="cellIs" dxfId="19" priority="4" operator="lessThan">
      <formula>51</formula>
    </cfRule>
  </conditionalFormatting>
  <conditionalFormatting sqref="BP13:BP62">
    <cfRule type="cellIs" dxfId="18" priority="3" operator="equal">
      <formula>"RETIRADO"</formula>
    </cfRule>
  </conditionalFormatting>
  <conditionalFormatting sqref="BQ13:BS62">
    <cfRule type="cellIs" dxfId="17" priority="2" operator="equal">
      <formula>"REPROBADO"</formula>
    </cfRule>
  </conditionalFormatting>
  <conditionalFormatting sqref="BR13:BR62">
    <cfRule type="top10" dxfId="16" priority="1" bottom="1" rank="10"/>
  </conditionalFormatting>
  <dataValidations count="6">
    <dataValidation type="decimal" allowBlank="1" showInputMessage="1" showErrorMessage="1" errorTitle="VALOR INCORRECTO" error="Solo se aceptan valores entre 1 y 5." sqref="AY13:BH62 E13:N62">
      <formula1>1</formula1>
      <formula2>5</formula2>
    </dataValidation>
    <dataValidation type="decimal" allowBlank="1" showErrorMessage="1" errorTitle="VALOR INCORRECTO" error="Solo se aceptan valores entre 1 y 40." sqref="AH13:AV62">
      <formula1>1</formula1>
      <formula2>40</formula2>
    </dataValidation>
    <dataValidation type="decimal" allowBlank="1" showErrorMessage="1" errorTitle="VALOR INCORRECTO" error="Solo se aceptan valores entre 1 y 5." sqref="BK13:BK62">
      <formula1>1</formula1>
      <formula2>5</formula2>
    </dataValidation>
    <dataValidation type="decimal" allowBlank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>
    <tabColor rgb="FF92D050"/>
    <pageSetUpPr fitToPage="1"/>
  </sheetPr>
  <dimension ref="A1:IA73"/>
  <sheetViews>
    <sheetView showGridLines="0" showRowColHeaders="0" showZeros="0" zoomScale="85" zoomScaleNormal="85" workbookViewId="0">
      <pane xSplit="4" ySplit="13" topLeftCell="F14" activePane="bottomRight" state="frozen"/>
      <selection activeCell="F14" sqref="F14"/>
      <selection pane="topRight" activeCell="F14" sqref="F14"/>
      <selection pane="bottomLeft" activeCell="F14" sqref="F14"/>
      <selection pane="bottomRight" activeCell="F14" sqref="F14"/>
    </sheetView>
  </sheetViews>
  <sheetFormatPr baseColWidth="10" defaultColWidth="4" defaultRowHeight="15"/>
  <cols>
    <col min="1" max="2" width="4.25" style="26" customWidth="1"/>
    <col min="3" max="3" width="8.125" style="26" customWidth="1"/>
    <col min="4" max="4" width="24.25" style="26" customWidth="1"/>
    <col min="5" max="5" width="4.5" style="26" hidden="1" customWidth="1"/>
    <col min="6" max="30" width="2.75" style="26" customWidth="1"/>
    <col min="31" max="75" width="2.75" style="26" hidden="1" customWidth="1"/>
    <col min="76" max="77" width="3.875" style="26" customWidth="1"/>
    <col min="78" max="79" width="3.875" style="43" customWidth="1"/>
    <col min="80" max="80" width="4.375" style="43" customWidth="1"/>
    <col min="81" max="81" width="8.625" style="25" customWidth="1"/>
    <col min="82" max="82" width="4.5" style="25" customWidth="1"/>
    <col min="83" max="83" width="4" style="25" customWidth="1"/>
    <col min="84" max="89" width="6.75" style="25" hidden="1" customWidth="1"/>
    <col min="90" max="91" width="2.375" style="25" hidden="1" customWidth="1"/>
    <col min="92" max="92" width="1.25" style="25" hidden="1" customWidth="1"/>
    <col min="93" max="97" width="2.375" style="25" customWidth="1"/>
    <col min="98" max="98" width="1.25" style="25" customWidth="1"/>
    <col min="99" max="103" width="2.375" style="25" customWidth="1"/>
    <col min="104" max="104" width="1.25" style="25" customWidth="1"/>
    <col min="105" max="109" width="2.375" style="25" customWidth="1"/>
    <col min="110" max="110" width="1.25" style="25" customWidth="1"/>
    <col min="111" max="115" width="2.375" style="25" customWidth="1"/>
    <col min="116" max="116" width="1.25" style="25" customWidth="1"/>
    <col min="117" max="117" width="4" style="77"/>
    <col min="118" max="119" width="4" style="25"/>
    <col min="120" max="124" width="2.375" style="25" customWidth="1"/>
    <col min="125" max="125" width="1.25" style="25" customWidth="1"/>
    <col min="126" max="130" width="2.375" style="25" customWidth="1"/>
    <col min="131" max="131" width="1.25" style="25" customWidth="1"/>
    <col min="132" max="136" width="2.375" style="25" customWidth="1"/>
    <col min="137" max="137" width="1.25" style="25" customWidth="1"/>
    <col min="138" max="142" width="2.375" style="25" customWidth="1"/>
    <col min="143" max="143" width="1.25" style="25" customWidth="1"/>
    <col min="144" max="148" width="2.375" style="25" customWidth="1"/>
    <col min="149" max="149" width="1.25" style="25" customWidth="1"/>
    <col min="150" max="154" width="2.375" style="25" customWidth="1"/>
    <col min="155" max="155" width="1.25" style="25" customWidth="1"/>
    <col min="156" max="158" width="4" style="25"/>
    <col min="159" max="163" width="2.375" style="25" customWidth="1"/>
    <col min="164" max="164" width="1.25" style="25" customWidth="1"/>
    <col min="165" max="169" width="2.375" style="25" customWidth="1"/>
    <col min="170" max="170" width="1.25" style="25" customWidth="1"/>
    <col min="171" max="175" width="2.375" style="25" customWidth="1"/>
    <col min="176" max="176" width="1.25" style="25" customWidth="1"/>
    <col min="177" max="181" width="2.375" style="25" customWidth="1"/>
    <col min="182" max="182" width="1.25" style="25" customWidth="1"/>
    <col min="183" max="187" width="2.375" style="25" customWidth="1"/>
    <col min="188" max="188" width="1.25" style="25" customWidth="1"/>
    <col min="189" max="193" width="2.375" style="25" customWidth="1"/>
    <col min="194" max="194" width="1.25" style="25" customWidth="1"/>
    <col min="195" max="195" width="4" style="25"/>
    <col min="196" max="196" width="4" style="66"/>
    <col min="197" max="201" width="2.375" style="66" customWidth="1"/>
    <col min="202" max="202" width="1.375" style="66" customWidth="1"/>
    <col min="203" max="207" width="2.375" style="66" customWidth="1"/>
    <col min="208" max="208" width="1.375" style="66" customWidth="1"/>
    <col min="209" max="209" width="2.375" style="66" customWidth="1"/>
    <col min="210" max="213" width="2.375" style="67" customWidth="1"/>
    <col min="214" max="214" width="1.375" style="67" customWidth="1"/>
    <col min="215" max="219" width="2.375" style="67" customWidth="1"/>
    <col min="220" max="220" width="1.375" style="67" customWidth="1"/>
    <col min="221" max="225" width="2.375" style="67" customWidth="1"/>
    <col min="226" max="226" width="1.375" style="67" customWidth="1"/>
    <col min="227" max="231" width="2.375" style="67" customWidth="1"/>
    <col min="232" max="232" width="1.375" style="67" customWidth="1"/>
    <col min="233" max="235" width="4" style="67"/>
    <col min="236" max="16384" width="4" style="68"/>
  </cols>
  <sheetData>
    <row r="1" spans="1:233" ht="16.5" customHeight="1">
      <c r="A1" s="64"/>
      <c r="D1" s="390" t="str">
        <f>IF(FILIACIÓN!C1="","",FILIACIÓN!C1)</f>
        <v xml:space="preserve">UNIDAD EDUCATIVA </v>
      </c>
      <c r="E1" s="390"/>
      <c r="BZ1" s="48"/>
      <c r="CA1" s="48"/>
      <c r="CB1" s="48"/>
    </row>
    <row r="2" spans="1:233" ht="18" customHeight="1">
      <c r="A2" s="64"/>
      <c r="D2" s="390" t="str">
        <f>IF(FILIACIÓN!C2="","",FILIACIÓN!C2)</f>
        <v>NIVEL SECUNDARIA COMUNITARIA PRODUCTIVA</v>
      </c>
      <c r="E2" s="390"/>
      <c r="L2" s="610" t="s">
        <v>308</v>
      </c>
      <c r="M2" s="611"/>
      <c r="N2" s="611"/>
      <c r="O2" s="611"/>
      <c r="P2" s="611"/>
      <c r="Q2" s="611"/>
      <c r="R2" s="611"/>
      <c r="S2" s="611"/>
      <c r="T2" s="611"/>
      <c r="U2" s="611"/>
      <c r="V2" s="611"/>
      <c r="W2" s="611"/>
      <c r="X2" s="611"/>
      <c r="Y2" s="611"/>
      <c r="Z2" s="611"/>
      <c r="AA2" s="611"/>
      <c r="AB2" s="611"/>
      <c r="AC2" s="611"/>
      <c r="AD2" s="611"/>
      <c r="AE2" s="611"/>
      <c r="AF2" s="611"/>
      <c r="AG2" s="611"/>
      <c r="AH2" s="611"/>
      <c r="AI2" s="611"/>
      <c r="AJ2" s="611"/>
      <c r="AK2" s="611"/>
      <c r="AL2" s="611"/>
      <c r="AM2" s="611"/>
      <c r="AN2" s="611"/>
      <c r="AO2" s="611"/>
      <c r="AP2" s="611"/>
      <c r="AQ2" s="611"/>
      <c r="AR2" s="611"/>
      <c r="AS2" s="611"/>
      <c r="AT2" s="611"/>
      <c r="AU2" s="611"/>
      <c r="AV2" s="611"/>
      <c r="AW2" s="611"/>
      <c r="AX2" s="611"/>
      <c r="AY2" s="611"/>
      <c r="AZ2" s="611"/>
      <c r="BA2" s="611"/>
      <c r="BB2" s="611"/>
      <c r="BC2" s="611"/>
      <c r="BD2" s="611"/>
      <c r="BE2" s="611"/>
      <c r="BF2" s="611"/>
      <c r="BG2" s="611"/>
      <c r="BH2" s="611"/>
      <c r="BI2" s="611"/>
      <c r="BJ2" s="611"/>
      <c r="BK2" s="611"/>
      <c r="BL2" s="611"/>
      <c r="BM2" s="611"/>
      <c r="BN2" s="611"/>
      <c r="BO2" s="611"/>
      <c r="BP2" s="611"/>
      <c r="BQ2" s="611"/>
      <c r="BR2" s="611"/>
      <c r="BS2" s="611"/>
      <c r="BT2" s="611"/>
      <c r="BU2" s="611"/>
      <c r="BV2" s="611"/>
      <c r="BW2" s="611"/>
      <c r="BX2" s="611"/>
      <c r="BY2" s="611"/>
      <c r="BZ2" s="611"/>
      <c r="CA2" s="611"/>
      <c r="CB2" s="611"/>
    </row>
    <row r="3" spans="1:233" ht="18" customHeight="1">
      <c r="A3" s="64"/>
      <c r="D3" s="390" t="str">
        <f>IF(FILIACIÓN!C3="","",FILIACIÓN!C3)</f>
        <v xml:space="preserve">TURNO </v>
      </c>
      <c r="E3" s="390"/>
      <c r="DM3" s="198"/>
    </row>
    <row r="4" spans="1:233" ht="18" customHeight="1">
      <c r="A4" s="25"/>
      <c r="D4" s="391" t="str">
        <f>IF(FILIACIÓN!E3="","",FILIACIÓN!E3)</f>
        <v xml:space="preserve">SIE </v>
      </c>
      <c r="E4" s="391"/>
      <c r="G4" s="459"/>
      <c r="H4" s="459"/>
      <c r="I4" s="459"/>
      <c r="J4" s="459"/>
      <c r="K4" s="459"/>
      <c r="L4" s="732" t="s">
        <v>311</v>
      </c>
      <c r="M4" s="732"/>
      <c r="N4" s="732"/>
      <c r="O4" s="732"/>
      <c r="P4" s="732"/>
      <c r="Q4" s="732"/>
      <c r="R4" s="732"/>
      <c r="S4" s="732"/>
      <c r="T4" s="732"/>
      <c r="U4" s="732"/>
      <c r="V4" s="732"/>
      <c r="W4" s="732"/>
      <c r="X4" s="732"/>
      <c r="Y4" s="732"/>
      <c r="Z4" s="732"/>
      <c r="AA4" s="732"/>
      <c r="AB4" s="732"/>
      <c r="AC4" s="732"/>
      <c r="AD4" s="732"/>
      <c r="AE4" s="732"/>
      <c r="AF4" s="732"/>
      <c r="AG4" s="732"/>
      <c r="AH4" s="732"/>
      <c r="AI4" s="732"/>
      <c r="AJ4" s="732"/>
      <c r="AK4" s="732"/>
      <c r="AL4" s="732"/>
      <c r="AM4" s="732"/>
      <c r="AN4" s="732"/>
      <c r="AO4" s="732"/>
      <c r="AP4" s="732"/>
      <c r="AQ4" s="732"/>
      <c r="AR4" s="732"/>
      <c r="AS4" s="732"/>
      <c r="AT4" s="732"/>
      <c r="AU4" s="732"/>
      <c r="AV4" s="732"/>
      <c r="AW4" s="732"/>
      <c r="AX4" s="732"/>
      <c r="AY4" s="732"/>
      <c r="AZ4" s="732"/>
      <c r="BA4" s="732"/>
      <c r="BB4" s="732"/>
      <c r="BC4" s="732"/>
      <c r="BD4" s="732"/>
      <c r="BE4" s="732"/>
      <c r="BF4" s="732"/>
      <c r="BG4" s="732"/>
      <c r="BH4" s="732"/>
      <c r="BI4" s="732"/>
      <c r="BJ4" s="732"/>
      <c r="BK4" s="732"/>
      <c r="BL4" s="732"/>
      <c r="BM4" s="732"/>
      <c r="BN4" s="732"/>
      <c r="BO4" s="732"/>
      <c r="BP4" s="732"/>
      <c r="BQ4" s="732"/>
      <c r="BR4" s="732"/>
      <c r="BS4" s="732"/>
      <c r="BT4" s="732"/>
      <c r="BU4" s="732"/>
      <c r="BV4" s="732"/>
      <c r="BW4" s="732"/>
      <c r="BX4" s="732"/>
      <c r="BY4" s="732"/>
      <c r="BZ4" s="732"/>
      <c r="CA4" s="732"/>
      <c r="CB4" s="732"/>
      <c r="CG4" s="46"/>
      <c r="CH4" s="46"/>
      <c r="CI4" s="46"/>
      <c r="CJ4" s="46"/>
      <c r="CK4" s="46"/>
      <c r="CL4" s="46"/>
      <c r="CM4" s="46"/>
      <c r="CN4" s="46"/>
      <c r="CO4" s="46"/>
      <c r="CP4" s="46"/>
      <c r="CQ4" s="46"/>
      <c r="CR4" s="46"/>
      <c r="CS4" s="46"/>
      <c r="CT4" s="46"/>
      <c r="CU4" s="46"/>
      <c r="CV4" s="46"/>
      <c r="CW4" s="46"/>
      <c r="CX4" s="46"/>
      <c r="CY4" s="46"/>
      <c r="CZ4" s="46"/>
      <c r="DA4" s="46"/>
      <c r="DB4" s="46"/>
      <c r="DC4" s="46"/>
      <c r="DD4" s="46"/>
      <c r="DE4" s="46"/>
      <c r="DF4" s="46"/>
      <c r="DG4" s="46"/>
      <c r="DH4" s="46"/>
      <c r="DI4" s="46"/>
      <c r="DJ4" s="46"/>
      <c r="DK4" s="46"/>
      <c r="DL4" s="46"/>
      <c r="DM4" s="198"/>
      <c r="DP4" s="46"/>
      <c r="DQ4" s="46"/>
      <c r="DR4" s="46"/>
      <c r="DS4" s="46"/>
      <c r="DT4" s="46"/>
      <c r="DU4" s="46"/>
      <c r="DV4" s="46"/>
      <c r="DW4" s="46"/>
      <c r="DX4" s="46"/>
      <c r="DY4" s="46"/>
      <c r="DZ4" s="46"/>
      <c r="EA4" s="46"/>
      <c r="EB4" s="46"/>
      <c r="EC4" s="46"/>
      <c r="ED4" s="46"/>
      <c r="EE4" s="46"/>
      <c r="EF4" s="46"/>
      <c r="EG4" s="46"/>
      <c r="EH4" s="46"/>
      <c r="EI4" s="46"/>
      <c r="EJ4" s="46"/>
      <c r="EK4" s="46"/>
      <c r="EL4" s="46"/>
      <c r="EM4" s="46"/>
      <c r="EN4" s="46"/>
      <c r="EO4" s="46"/>
      <c r="EP4" s="46"/>
      <c r="EQ4" s="46"/>
      <c r="ER4" s="46"/>
      <c r="ES4" s="46"/>
      <c r="ET4" s="46"/>
      <c r="EU4" s="46"/>
      <c r="EV4" s="46"/>
      <c r="EW4" s="46"/>
      <c r="EX4" s="46"/>
      <c r="EY4" s="46"/>
      <c r="FC4" s="46"/>
      <c r="FD4" s="46"/>
      <c r="FE4" s="46"/>
      <c r="FF4" s="46"/>
      <c r="FG4" s="46"/>
      <c r="FH4" s="46"/>
      <c r="FI4" s="46"/>
      <c r="FJ4" s="46"/>
      <c r="FK4" s="46"/>
      <c r="FL4" s="46"/>
      <c r="FM4" s="46"/>
      <c r="FN4" s="46"/>
      <c r="FO4" s="46"/>
      <c r="FP4" s="46"/>
      <c r="FQ4" s="46"/>
      <c r="FR4" s="46"/>
      <c r="FS4" s="46"/>
      <c r="FT4" s="46"/>
      <c r="FU4" s="46"/>
      <c r="FV4" s="46"/>
      <c r="FW4" s="46"/>
      <c r="FX4" s="46"/>
      <c r="FY4" s="46"/>
      <c r="FZ4" s="46"/>
      <c r="GA4" s="46"/>
      <c r="GB4" s="46"/>
      <c r="GC4" s="46"/>
      <c r="GD4" s="46"/>
      <c r="GE4" s="46"/>
      <c r="GF4" s="46"/>
      <c r="GG4" s="46"/>
      <c r="GH4" s="46"/>
      <c r="GI4" s="46"/>
      <c r="GJ4" s="46"/>
      <c r="GK4" s="46"/>
      <c r="GL4" s="46"/>
    </row>
    <row r="5" spans="1:233" ht="18" customHeight="1">
      <c r="A5" s="25"/>
      <c r="B5" s="48"/>
      <c r="D5" s="392" t="str">
        <f>IF(FILIACIÓN!C4="","",FILIACIÓN!C4)</f>
        <v>GESTION 2025</v>
      </c>
      <c r="E5" s="392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440"/>
      <c r="AH5" s="440"/>
      <c r="AI5" s="440"/>
      <c r="AJ5" s="440"/>
      <c r="AK5" s="440"/>
      <c r="AL5" s="440"/>
      <c r="AM5" s="440"/>
      <c r="AN5" s="440"/>
      <c r="AO5" s="440"/>
      <c r="AP5" s="440"/>
      <c r="AQ5" s="389"/>
      <c r="AR5" s="546"/>
      <c r="AS5" s="546"/>
      <c r="AT5" s="546"/>
      <c r="AU5" s="546"/>
      <c r="AV5" s="546"/>
      <c r="AW5" s="546"/>
      <c r="AX5" s="546"/>
      <c r="AY5" s="546"/>
      <c r="AZ5" s="546"/>
      <c r="BA5" s="546"/>
      <c r="BB5" s="546"/>
      <c r="BC5" s="546"/>
      <c r="BD5" s="546"/>
      <c r="BE5" s="546"/>
      <c r="BF5" s="546"/>
      <c r="BG5" s="546"/>
      <c r="BH5" s="546"/>
      <c r="BI5" s="546"/>
      <c r="BJ5" s="546"/>
      <c r="BK5" s="546"/>
      <c r="BL5" s="546"/>
      <c r="BM5" s="546"/>
      <c r="BN5" s="546"/>
      <c r="BO5" s="546"/>
      <c r="BP5" s="546"/>
      <c r="BQ5" s="546"/>
      <c r="BR5" s="546"/>
      <c r="BS5" s="546"/>
      <c r="BT5" s="546"/>
      <c r="BU5" s="546"/>
      <c r="BV5" s="389"/>
      <c r="BW5" s="389"/>
      <c r="CG5" s="199"/>
      <c r="CH5" s="199"/>
      <c r="CI5" s="199"/>
      <c r="CJ5" s="199"/>
      <c r="CK5" s="533"/>
      <c r="CL5" s="533"/>
      <c r="CM5" s="533"/>
      <c r="CO5" s="533"/>
      <c r="CP5" s="533"/>
      <c r="CQ5" s="533"/>
      <c r="CR5" s="533"/>
      <c r="CS5" s="199"/>
      <c r="CU5" s="199"/>
      <c r="CV5" s="199"/>
      <c r="CW5" s="199"/>
      <c r="CX5" s="199"/>
      <c r="CY5" s="199"/>
      <c r="DA5" s="199"/>
      <c r="DB5" s="199"/>
      <c r="DC5" s="199"/>
      <c r="DD5" s="199"/>
      <c r="DE5" s="199"/>
      <c r="DG5" s="199"/>
      <c r="DH5" s="199"/>
      <c r="DI5" s="199"/>
      <c r="DJ5" s="199"/>
      <c r="DK5" s="199"/>
      <c r="DM5" s="198"/>
      <c r="DP5" s="199"/>
      <c r="DQ5" s="199"/>
      <c r="DR5" s="199"/>
      <c r="DS5" s="199"/>
      <c r="DT5" s="199"/>
      <c r="DV5" s="199"/>
      <c r="DW5" s="199"/>
      <c r="DX5" s="199"/>
      <c r="DY5" s="199"/>
      <c r="DZ5" s="199"/>
      <c r="EB5" s="199"/>
      <c r="EC5" s="199"/>
      <c r="ED5" s="199"/>
      <c r="EE5" s="199"/>
      <c r="EF5" s="199"/>
      <c r="EH5" s="199"/>
      <c r="EI5" s="199"/>
      <c r="EJ5" s="199"/>
      <c r="EK5" s="199"/>
      <c r="EL5" s="199"/>
      <c r="EN5" s="199"/>
      <c r="EO5" s="199"/>
      <c r="EP5" s="199"/>
      <c r="EQ5" s="199"/>
      <c r="ER5" s="199"/>
      <c r="ET5" s="199"/>
      <c r="EU5" s="199"/>
      <c r="EV5" s="199"/>
      <c r="EW5" s="199"/>
      <c r="EX5" s="199"/>
      <c r="FC5" s="78"/>
      <c r="FD5" s="78"/>
      <c r="FE5" s="78"/>
      <c r="FF5" s="78"/>
      <c r="FG5" s="78"/>
      <c r="FI5" s="78"/>
      <c r="FJ5" s="78"/>
      <c r="FK5" s="78"/>
      <c r="FL5" s="78"/>
      <c r="FM5" s="78"/>
      <c r="FO5" s="78"/>
      <c r="FP5" s="78"/>
      <c r="FQ5" s="78"/>
      <c r="FR5" s="78"/>
      <c r="FS5" s="78"/>
      <c r="FU5" s="78"/>
      <c r="FV5" s="78"/>
      <c r="FW5" s="78"/>
      <c r="FX5" s="78"/>
      <c r="FY5" s="78"/>
      <c r="GA5" s="78"/>
      <c r="GB5" s="78"/>
      <c r="GC5" s="78"/>
      <c r="GD5" s="78"/>
      <c r="GE5" s="78"/>
      <c r="GG5" s="78"/>
      <c r="GH5" s="78"/>
      <c r="GI5" s="78"/>
      <c r="GJ5" s="78"/>
      <c r="GK5" s="78"/>
    </row>
    <row r="6" spans="1:233" ht="5.25" customHeight="1">
      <c r="A6" s="25"/>
      <c r="B6" s="48"/>
      <c r="C6" s="69"/>
      <c r="D6" s="61"/>
      <c r="E6" s="61"/>
      <c r="F6" s="342"/>
      <c r="G6" s="342"/>
      <c r="H6" s="342"/>
      <c r="I6" s="342"/>
      <c r="J6" s="342"/>
      <c r="K6" s="342"/>
      <c r="L6" s="342"/>
      <c r="M6" s="342"/>
      <c r="N6" s="342"/>
      <c r="O6" s="342"/>
      <c r="P6" s="342"/>
      <c r="Q6" s="342"/>
      <c r="R6" s="342"/>
      <c r="S6" s="342"/>
      <c r="T6" s="342"/>
      <c r="U6" s="342"/>
      <c r="V6" s="342"/>
      <c r="W6" s="342"/>
      <c r="X6" s="342"/>
      <c r="Y6" s="342"/>
      <c r="Z6" s="342"/>
      <c r="AA6" s="342"/>
      <c r="AB6" s="342"/>
      <c r="AC6" s="342"/>
      <c r="AD6" s="342"/>
      <c r="AE6" s="342"/>
      <c r="AF6" s="342"/>
      <c r="AG6" s="342"/>
      <c r="AH6" s="342"/>
      <c r="AI6" s="342"/>
      <c r="AJ6" s="342"/>
      <c r="AK6" s="342"/>
      <c r="AL6" s="342"/>
      <c r="AM6" s="342"/>
      <c r="AN6" s="342"/>
      <c r="AO6" s="342"/>
      <c r="AP6" s="342"/>
      <c r="AQ6" s="342"/>
      <c r="AR6" s="342"/>
      <c r="AS6" s="342"/>
      <c r="AT6" s="342"/>
      <c r="AU6" s="342"/>
      <c r="AV6" s="342"/>
      <c r="AW6" s="342"/>
      <c r="AX6" s="342"/>
      <c r="AY6" s="342"/>
      <c r="AZ6" s="342"/>
      <c r="BA6" s="342"/>
      <c r="BB6" s="342"/>
      <c r="BC6" s="342"/>
      <c r="BD6" s="342"/>
      <c r="BE6" s="342"/>
      <c r="BF6" s="342"/>
      <c r="BG6" s="342"/>
      <c r="BH6" s="342"/>
      <c r="BI6" s="342"/>
      <c r="BJ6" s="342"/>
      <c r="BK6" s="342"/>
      <c r="BL6" s="342"/>
      <c r="BM6" s="342"/>
      <c r="BN6" s="342"/>
      <c r="BO6" s="342"/>
      <c r="BP6" s="342"/>
      <c r="BQ6" s="342"/>
      <c r="BR6" s="342"/>
      <c r="BS6" s="342"/>
      <c r="BT6" s="342"/>
      <c r="BU6" s="342"/>
      <c r="BV6" s="342"/>
      <c r="BW6" s="342"/>
      <c r="BX6" s="342"/>
      <c r="BY6" s="342"/>
      <c r="BZ6" s="342"/>
      <c r="CA6" s="342"/>
      <c r="CB6" s="342"/>
      <c r="CD6" s="612" t="s">
        <v>243</v>
      </c>
      <c r="CG6" s="199"/>
      <c r="CH6" s="199"/>
      <c r="CI6" s="199"/>
      <c r="CJ6" s="199"/>
      <c r="CK6" s="533"/>
      <c r="CL6" s="533"/>
      <c r="CM6" s="533"/>
      <c r="CO6" s="533"/>
      <c r="CP6" s="533"/>
      <c r="CQ6" s="533"/>
      <c r="CR6" s="533"/>
      <c r="CS6" s="199"/>
      <c r="CU6" s="199"/>
      <c r="CV6" s="199"/>
      <c r="CW6" s="199"/>
      <c r="CX6" s="199"/>
      <c r="CY6" s="199"/>
      <c r="DA6" s="199"/>
      <c r="DB6" s="199"/>
      <c r="DC6" s="199"/>
      <c r="DD6" s="199"/>
      <c r="DE6" s="199"/>
      <c r="DG6" s="199"/>
      <c r="DH6" s="199"/>
      <c r="DI6" s="199"/>
      <c r="DJ6" s="199"/>
      <c r="DK6" s="199"/>
      <c r="DM6" s="198"/>
      <c r="DP6" s="199"/>
      <c r="DQ6" s="199"/>
      <c r="DR6" s="199"/>
      <c r="DS6" s="199"/>
      <c r="DT6" s="199"/>
      <c r="DV6" s="199"/>
      <c r="DW6" s="199"/>
      <c r="DX6" s="199"/>
      <c r="DY6" s="199"/>
      <c r="DZ6" s="199"/>
      <c r="EB6" s="199"/>
      <c r="EC6" s="199"/>
      <c r="ED6" s="199"/>
      <c r="EE6" s="199"/>
      <c r="EF6" s="199"/>
      <c r="EH6" s="199"/>
      <c r="EI6" s="199"/>
      <c r="EJ6" s="199"/>
      <c r="EK6" s="199"/>
      <c r="EL6" s="199"/>
      <c r="EN6" s="199"/>
      <c r="EO6" s="199"/>
      <c r="EP6" s="199"/>
      <c r="EQ6" s="199"/>
      <c r="ER6" s="199"/>
      <c r="ET6" s="199"/>
      <c r="EU6" s="199"/>
      <c r="EV6" s="199"/>
      <c r="EW6" s="199"/>
      <c r="EX6" s="199"/>
      <c r="FC6" s="78"/>
      <c r="FD6" s="78"/>
      <c r="FE6" s="78"/>
      <c r="FF6" s="78"/>
      <c r="FG6" s="78"/>
      <c r="FI6" s="78"/>
      <c r="FJ6" s="78"/>
      <c r="FK6" s="78"/>
      <c r="FL6" s="78"/>
      <c r="FM6" s="78"/>
      <c r="FO6" s="78"/>
      <c r="FP6" s="78"/>
      <c r="FQ6" s="78"/>
      <c r="FR6" s="78"/>
      <c r="FS6" s="78"/>
      <c r="FU6" s="78"/>
      <c r="FV6" s="78"/>
      <c r="FW6" s="78"/>
      <c r="FX6" s="78"/>
      <c r="FY6" s="78"/>
      <c r="GA6" s="78"/>
      <c r="GB6" s="78"/>
      <c r="GC6" s="78"/>
      <c r="GD6" s="78"/>
      <c r="GE6" s="78"/>
      <c r="GG6" s="78"/>
      <c r="GH6" s="78"/>
      <c r="GI6" s="78"/>
      <c r="GJ6" s="78"/>
      <c r="GK6" s="78"/>
    </row>
    <row r="7" spans="1:233" ht="5.25" customHeight="1">
      <c r="A7" s="25"/>
      <c r="B7" s="48"/>
      <c r="C7" s="69"/>
      <c r="D7" s="61"/>
      <c r="E7" s="61"/>
      <c r="F7" s="78"/>
      <c r="V7" s="78"/>
      <c r="W7" s="78"/>
      <c r="X7" s="78"/>
      <c r="Y7" s="78"/>
      <c r="Z7" s="78"/>
      <c r="AA7" s="78"/>
      <c r="AB7" s="78"/>
      <c r="AC7" s="219"/>
      <c r="AD7" s="219"/>
      <c r="AE7" s="219"/>
      <c r="AF7" s="78"/>
      <c r="AG7" s="440"/>
      <c r="AH7" s="440"/>
      <c r="AI7" s="440"/>
      <c r="AJ7" s="440"/>
      <c r="AK7" s="440"/>
      <c r="AL7" s="440"/>
      <c r="AM7" s="440"/>
      <c r="AN7" s="440"/>
      <c r="AO7" s="440"/>
      <c r="AP7" s="440"/>
      <c r="AQ7" s="194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6"/>
      <c r="BH7" s="546"/>
      <c r="BI7" s="546"/>
      <c r="BJ7" s="546"/>
      <c r="BK7" s="546"/>
      <c r="BL7" s="546"/>
      <c r="BM7" s="546"/>
      <c r="BN7" s="546"/>
      <c r="BO7" s="546"/>
      <c r="BP7" s="546"/>
      <c r="BQ7" s="546"/>
      <c r="BR7" s="546"/>
      <c r="BS7" s="546"/>
      <c r="BT7" s="546"/>
      <c r="BU7" s="546"/>
      <c r="BV7" s="219"/>
      <c r="CD7" s="613"/>
      <c r="CG7" s="199"/>
      <c r="CH7" s="199"/>
      <c r="CI7" s="199"/>
      <c r="CJ7" s="199"/>
      <c r="CK7" s="533"/>
      <c r="CL7" s="533"/>
      <c r="CM7" s="533"/>
      <c r="CO7" s="533"/>
      <c r="CP7" s="533"/>
      <c r="CQ7" s="533"/>
      <c r="CR7" s="533"/>
      <c r="CS7" s="199"/>
      <c r="CU7" s="199"/>
      <c r="CV7" s="199"/>
      <c r="CW7" s="199"/>
      <c r="CX7" s="199"/>
      <c r="CY7" s="199"/>
      <c r="DA7" s="199"/>
      <c r="DB7" s="199"/>
      <c r="DC7" s="199"/>
      <c r="DD7" s="199"/>
      <c r="DE7" s="199"/>
      <c r="DG7" s="199"/>
      <c r="DH7" s="199"/>
      <c r="DI7" s="199"/>
      <c r="DJ7" s="199"/>
      <c r="DK7" s="199"/>
      <c r="DM7" s="198"/>
      <c r="DP7" s="199"/>
      <c r="DQ7" s="199"/>
      <c r="DR7" s="199"/>
      <c r="DS7" s="199"/>
      <c r="DT7" s="199"/>
      <c r="DV7" s="199"/>
      <c r="DW7" s="199"/>
      <c r="DX7" s="199"/>
      <c r="DY7" s="199"/>
      <c r="DZ7" s="199"/>
      <c r="EB7" s="199"/>
      <c r="EC7" s="199"/>
      <c r="ED7" s="199"/>
      <c r="EE7" s="199"/>
      <c r="EF7" s="199"/>
      <c r="EH7" s="199"/>
      <c r="EI7" s="199"/>
      <c r="EJ7" s="199"/>
      <c r="EK7" s="199"/>
      <c r="EL7" s="199"/>
      <c r="EN7" s="199"/>
      <c r="EO7" s="199"/>
      <c r="EP7" s="199"/>
      <c r="EQ7" s="199"/>
      <c r="ER7" s="199"/>
      <c r="ET7" s="199"/>
      <c r="EU7" s="199"/>
      <c r="EV7" s="199"/>
      <c r="EW7" s="199"/>
      <c r="EX7" s="199"/>
      <c r="FC7" s="78"/>
      <c r="FD7" s="78"/>
      <c r="FE7" s="78"/>
      <c r="FF7" s="78"/>
      <c r="FG7" s="78"/>
      <c r="FI7" s="78"/>
      <c r="FJ7" s="78"/>
      <c r="FK7" s="78"/>
      <c r="FL7" s="78"/>
      <c r="FM7" s="78"/>
      <c r="FO7" s="78"/>
      <c r="FP7" s="78"/>
      <c r="FQ7" s="78"/>
      <c r="FR7" s="78"/>
      <c r="FS7" s="78"/>
      <c r="FU7" s="78"/>
      <c r="FV7" s="78"/>
      <c r="FW7" s="78"/>
      <c r="FX7" s="78"/>
      <c r="FY7" s="78"/>
      <c r="GA7" s="78"/>
      <c r="GB7" s="78"/>
      <c r="GC7" s="78"/>
      <c r="GD7" s="78"/>
      <c r="GE7" s="78"/>
      <c r="GG7" s="78"/>
      <c r="GH7" s="78"/>
      <c r="GI7" s="78"/>
      <c r="GJ7" s="78"/>
      <c r="GK7" s="78"/>
    </row>
    <row r="8" spans="1:233" ht="21.75" customHeight="1" thickBot="1">
      <c r="A8" s="25"/>
      <c r="B8" s="392" t="str">
        <f>"AÑO DE ESCOLARIDAD:"&amp;" "&amp;FILIACIÓN!F5</f>
        <v xml:space="preserve">AÑO DE ESCOLARIDAD: </v>
      </c>
      <c r="E8" s="48"/>
      <c r="F8" s="392" t="str">
        <f>"CAMPO:"&amp;" "&amp;FILIACIÓN!F6</f>
        <v xml:space="preserve">CAMPO: </v>
      </c>
      <c r="H8" s="78"/>
      <c r="I8" s="78"/>
      <c r="J8" s="78"/>
      <c r="K8" s="78"/>
      <c r="N8" s="69"/>
      <c r="O8" s="48"/>
      <c r="P8" s="69"/>
      <c r="Q8" s="69"/>
      <c r="R8" s="69"/>
      <c r="S8" s="69"/>
      <c r="T8" s="69"/>
      <c r="U8" s="78"/>
      <c r="V8" s="78"/>
      <c r="W8" s="78"/>
      <c r="X8" s="78"/>
      <c r="Y8" s="78"/>
      <c r="Z8" s="78"/>
      <c r="AA8" s="78"/>
      <c r="AB8" s="78"/>
      <c r="AC8" s="219"/>
      <c r="AD8" s="219"/>
      <c r="AE8" s="219"/>
      <c r="AF8" s="78"/>
      <c r="AG8" s="440"/>
      <c r="AH8" s="440"/>
      <c r="AI8" s="440"/>
      <c r="AJ8" s="440"/>
      <c r="AK8" s="440"/>
      <c r="AL8" s="440"/>
      <c r="AM8" s="440"/>
      <c r="AN8" s="440"/>
      <c r="AO8" s="440"/>
      <c r="AP8" s="440"/>
      <c r="BX8" s="616" t="s">
        <v>302</v>
      </c>
      <c r="BY8" s="616"/>
      <c r="BZ8" s="616"/>
      <c r="CA8" s="616"/>
      <c r="CB8" s="616"/>
      <c r="CC8" s="315"/>
      <c r="CD8" s="117">
        <f>(COUNTA(F13:BW13)-COUNTIF(F12:BW12,"F"))</f>
        <v>0</v>
      </c>
      <c r="CG8" s="41"/>
      <c r="CH8" s="41"/>
      <c r="CI8" s="41"/>
      <c r="CJ8" s="41"/>
      <c r="CK8" s="41"/>
      <c r="CL8" s="41"/>
      <c r="CM8" s="41"/>
      <c r="CO8" s="41"/>
      <c r="CP8" s="41"/>
      <c r="CQ8" s="41"/>
      <c r="CR8" s="41"/>
      <c r="CS8" s="41"/>
      <c r="CU8" s="41"/>
      <c r="CV8" s="41"/>
      <c r="CW8" s="41"/>
      <c r="CX8" s="41"/>
      <c r="CY8" s="41"/>
      <c r="DA8" s="41"/>
      <c r="DB8" s="41"/>
      <c r="DC8" s="41"/>
      <c r="DD8" s="41"/>
      <c r="DE8" s="41"/>
      <c r="DG8" s="41"/>
      <c r="DH8" s="41"/>
      <c r="DI8" s="41"/>
      <c r="DJ8" s="41"/>
      <c r="DK8" s="41"/>
      <c r="DM8" s="198"/>
      <c r="DP8" s="41"/>
      <c r="DQ8" s="41"/>
      <c r="DR8" s="41"/>
      <c r="DS8" s="41"/>
      <c r="DT8" s="41"/>
      <c r="DV8" s="41"/>
      <c r="DW8" s="41"/>
      <c r="DX8" s="41"/>
      <c r="DY8" s="41"/>
      <c r="DZ8" s="41"/>
      <c r="EB8" s="41"/>
      <c r="EC8" s="41"/>
      <c r="ED8" s="41"/>
      <c r="EE8" s="41"/>
      <c r="EF8" s="41"/>
      <c r="EH8" s="41"/>
      <c r="EI8" s="41"/>
      <c r="EJ8" s="41"/>
      <c r="EK8" s="41"/>
      <c r="EL8" s="41"/>
      <c r="EN8" s="41"/>
      <c r="EO8" s="41"/>
      <c r="EP8" s="41"/>
      <c r="EQ8" s="41"/>
      <c r="ER8" s="41"/>
      <c r="ET8" s="41"/>
      <c r="EU8" s="41"/>
      <c r="EV8" s="41"/>
      <c r="EW8" s="41"/>
      <c r="EX8" s="41"/>
      <c r="FC8" s="41"/>
      <c r="FD8" s="41"/>
      <c r="FE8" s="41"/>
      <c r="FF8" s="41"/>
      <c r="FG8" s="41"/>
      <c r="FI8" s="41"/>
      <c r="FJ8" s="41"/>
      <c r="FK8" s="41"/>
      <c r="FL8" s="41"/>
      <c r="FM8" s="41"/>
      <c r="FO8" s="41"/>
      <c r="FP8" s="41"/>
      <c r="FQ8" s="41"/>
      <c r="FR8" s="41"/>
      <c r="FS8" s="41"/>
      <c r="FU8" s="41"/>
      <c r="FV8" s="41"/>
      <c r="FW8" s="41"/>
      <c r="FX8" s="41"/>
      <c r="FY8" s="41"/>
      <c r="GA8" s="41"/>
      <c r="GB8" s="41"/>
      <c r="GC8" s="41"/>
      <c r="GD8" s="41"/>
      <c r="GE8" s="41"/>
      <c r="GG8" s="41"/>
      <c r="GH8" s="41"/>
      <c r="GI8" s="41"/>
      <c r="GJ8" s="41"/>
      <c r="GK8" s="41"/>
    </row>
    <row r="9" spans="1:233" ht="18" customHeight="1" thickBot="1">
      <c r="A9" s="25"/>
      <c r="B9" s="392" t="str">
        <f>"ÁREA:"&amp;" "&amp;FILIACIÓN!F7</f>
        <v xml:space="preserve">ÁREA: </v>
      </c>
      <c r="C9" s="48"/>
      <c r="E9" s="69"/>
      <c r="F9" s="392" t="str">
        <f>"MAESTRO/A:"&amp;" "&amp;FILIACIÓN!F8</f>
        <v>MAESTRO/A: nombre maestro</v>
      </c>
      <c r="H9" s="78"/>
      <c r="I9" s="78"/>
      <c r="J9" s="78"/>
      <c r="K9" s="78"/>
      <c r="N9" s="69"/>
      <c r="O9" s="48"/>
      <c r="P9" s="69"/>
      <c r="Q9" s="69"/>
      <c r="R9" s="69"/>
      <c r="S9" s="69"/>
      <c r="T9" s="69"/>
      <c r="U9" s="78"/>
      <c r="BX9" s="627" t="s">
        <v>281</v>
      </c>
      <c r="BY9" s="628"/>
      <c r="BZ9" s="624" t="s">
        <v>305</v>
      </c>
      <c r="CA9" s="624" t="s">
        <v>306</v>
      </c>
      <c r="CB9" s="632" t="s">
        <v>132</v>
      </c>
      <c r="CC9" s="621" t="s">
        <v>3</v>
      </c>
      <c r="CD9" s="621" t="s">
        <v>182</v>
      </c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200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  <c r="EU9" s="64"/>
      <c r="EV9" s="64"/>
      <c r="EW9" s="64"/>
      <c r="EX9" s="64"/>
      <c r="EY9" s="64"/>
      <c r="EZ9" s="602"/>
      <c r="FC9" s="615"/>
      <c r="FD9" s="615"/>
      <c r="FE9" s="615"/>
      <c r="FF9" s="615"/>
      <c r="FG9" s="615"/>
      <c r="FH9" s="615"/>
      <c r="FI9" s="615"/>
      <c r="FJ9" s="615"/>
      <c r="FK9" s="615"/>
      <c r="FL9" s="615"/>
      <c r="FM9" s="615"/>
      <c r="FN9" s="615"/>
      <c r="FO9" s="615"/>
      <c r="FP9" s="615"/>
      <c r="FQ9" s="615"/>
      <c r="FR9" s="615"/>
      <c r="FS9" s="615"/>
      <c r="FT9" s="615"/>
      <c r="FU9" s="615"/>
      <c r="FV9" s="615"/>
      <c r="FW9" s="615"/>
      <c r="FX9" s="615"/>
      <c r="FY9" s="615"/>
      <c r="FZ9" s="615"/>
      <c r="GA9" s="615"/>
      <c r="GB9" s="615"/>
      <c r="GC9" s="615"/>
      <c r="GD9" s="615"/>
      <c r="GE9" s="615"/>
      <c r="GF9" s="615"/>
      <c r="GG9" s="615"/>
      <c r="GH9" s="615"/>
      <c r="GI9" s="615"/>
      <c r="GJ9" s="615"/>
      <c r="GK9" s="615"/>
      <c r="GL9" s="615"/>
      <c r="GM9" s="602"/>
      <c r="GO9" s="615"/>
      <c r="GP9" s="615"/>
      <c r="GQ9" s="615"/>
      <c r="GR9" s="615"/>
      <c r="GS9" s="615"/>
      <c r="GT9" s="615"/>
      <c r="GU9" s="615"/>
      <c r="GV9" s="615"/>
      <c r="GW9" s="615"/>
      <c r="GX9" s="615"/>
      <c r="GY9" s="615"/>
      <c r="GZ9" s="615"/>
      <c r="HA9" s="615"/>
      <c r="HB9" s="615"/>
      <c r="HC9" s="615"/>
      <c r="HD9" s="615"/>
      <c r="HE9" s="615"/>
      <c r="HF9" s="615"/>
      <c r="HG9" s="615"/>
      <c r="HH9" s="615"/>
      <c r="HI9" s="615"/>
      <c r="HJ9" s="615"/>
      <c r="HK9" s="615"/>
      <c r="HL9" s="615"/>
      <c r="HM9" s="615"/>
      <c r="HN9" s="615"/>
      <c r="HO9" s="615"/>
      <c r="HP9" s="615"/>
      <c r="HQ9" s="615"/>
      <c r="HR9" s="615"/>
      <c r="HS9" s="615"/>
      <c r="HT9" s="615"/>
      <c r="HU9" s="615"/>
      <c r="HV9" s="615"/>
      <c r="HW9" s="615"/>
      <c r="HX9" s="615"/>
      <c r="HY9" s="602"/>
    </row>
    <row r="10" spans="1:233" ht="5.25" customHeight="1" thickBot="1">
      <c r="B10" s="48"/>
      <c r="C10" s="61"/>
      <c r="D10" s="61"/>
      <c r="E10" s="61"/>
      <c r="F10" s="291"/>
      <c r="G10" s="291"/>
      <c r="H10" s="291"/>
      <c r="I10" s="291"/>
      <c r="J10" s="327"/>
      <c r="K10" s="328"/>
      <c r="L10" s="291"/>
      <c r="M10" s="327"/>
      <c r="N10" s="291"/>
      <c r="O10" s="291"/>
      <c r="P10" s="291"/>
      <c r="Q10" s="291"/>
      <c r="R10" s="291"/>
      <c r="S10" s="291"/>
      <c r="T10" s="327"/>
      <c r="U10" s="328"/>
      <c r="V10" s="327"/>
      <c r="W10" s="291"/>
      <c r="X10" s="291"/>
      <c r="Y10" s="291"/>
      <c r="Z10" s="291"/>
      <c r="AA10" s="291"/>
      <c r="AB10" s="327"/>
      <c r="AC10" s="327"/>
      <c r="AD10" s="328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  <c r="AW10" s="291"/>
      <c r="AX10" s="291"/>
      <c r="AY10" s="291"/>
      <c r="AZ10" s="291"/>
      <c r="BA10" s="291"/>
      <c r="BB10" s="291"/>
      <c r="BC10" s="291"/>
      <c r="BD10" s="291"/>
      <c r="BE10" s="291"/>
      <c r="BF10" s="291"/>
      <c r="BG10" s="291"/>
      <c r="BH10" s="291"/>
      <c r="BI10" s="291"/>
      <c r="BJ10" s="291"/>
      <c r="BK10" s="291"/>
      <c r="BL10" s="291"/>
      <c r="BM10" s="291"/>
      <c r="BN10" s="291"/>
      <c r="BO10" s="291"/>
      <c r="BP10" s="291"/>
      <c r="BQ10" s="291"/>
      <c r="BR10" s="291"/>
      <c r="BS10" s="291"/>
      <c r="BT10" s="291"/>
      <c r="BU10" s="291"/>
      <c r="BV10" s="291"/>
      <c r="BW10" s="291"/>
      <c r="BX10" s="635" t="s">
        <v>304</v>
      </c>
      <c r="BY10" s="629" t="s">
        <v>303</v>
      </c>
      <c r="BZ10" s="728"/>
      <c r="CA10" s="728"/>
      <c r="CB10" s="730"/>
      <c r="CC10" s="622"/>
      <c r="CD10" s="622"/>
      <c r="DM10" s="200"/>
      <c r="EZ10" s="602"/>
      <c r="FC10" s="614"/>
      <c r="FD10" s="614"/>
      <c r="FE10" s="614"/>
      <c r="FF10" s="614"/>
      <c r="FG10" s="614"/>
      <c r="FI10" s="614"/>
      <c r="FJ10" s="614"/>
      <c r="FK10" s="614"/>
      <c r="FL10" s="614"/>
      <c r="FM10" s="614"/>
      <c r="FO10" s="614"/>
      <c r="FP10" s="614"/>
      <c r="FQ10" s="614"/>
      <c r="FR10" s="614"/>
      <c r="FS10" s="614"/>
      <c r="FU10" s="614"/>
      <c r="FV10" s="614"/>
      <c r="FW10" s="614"/>
      <c r="FX10" s="614"/>
      <c r="FY10" s="614"/>
      <c r="GA10" s="614"/>
      <c r="GB10" s="614"/>
      <c r="GC10" s="614"/>
      <c r="GD10" s="614"/>
      <c r="GE10" s="614"/>
      <c r="GG10" s="614"/>
      <c r="GH10" s="614"/>
      <c r="GI10" s="614"/>
      <c r="GJ10" s="614"/>
      <c r="GK10" s="614"/>
      <c r="GM10" s="602"/>
      <c r="GO10" s="614"/>
      <c r="GP10" s="614"/>
      <c r="GQ10" s="614"/>
      <c r="GR10" s="614"/>
      <c r="GS10" s="614"/>
      <c r="GT10" s="25"/>
      <c r="GU10" s="614"/>
      <c r="GV10" s="614"/>
      <c r="GW10" s="614"/>
      <c r="GX10" s="614"/>
      <c r="GY10" s="614"/>
      <c r="GZ10" s="25"/>
      <c r="HA10" s="614"/>
      <c r="HB10" s="614"/>
      <c r="HC10" s="614"/>
      <c r="HD10" s="614"/>
      <c r="HE10" s="614"/>
      <c r="HF10" s="25"/>
      <c r="HG10" s="614"/>
      <c r="HH10" s="614"/>
      <c r="HI10" s="614"/>
      <c r="HJ10" s="614"/>
      <c r="HK10" s="614"/>
      <c r="HL10" s="25"/>
      <c r="HM10" s="614"/>
      <c r="HN10" s="614"/>
      <c r="HO10" s="614"/>
      <c r="HP10" s="614"/>
      <c r="HQ10" s="614"/>
      <c r="HR10" s="25"/>
      <c r="HS10" s="614"/>
      <c r="HT10" s="614"/>
      <c r="HU10" s="614"/>
      <c r="HV10" s="614"/>
      <c r="HW10" s="614"/>
      <c r="HX10" s="25"/>
      <c r="HY10" s="602"/>
    </row>
    <row r="11" spans="1:233" ht="18.75" customHeight="1" thickBot="1">
      <c r="B11" s="25"/>
      <c r="C11" s="25"/>
      <c r="D11" s="25"/>
      <c r="E11" s="25"/>
      <c r="F11" s="652"/>
      <c r="G11" s="653"/>
      <c r="H11" s="653"/>
      <c r="I11" s="653"/>
      <c r="J11" s="653"/>
      <c r="K11" s="653"/>
      <c r="L11" s="653"/>
      <c r="M11" s="653"/>
      <c r="N11" s="653"/>
      <c r="O11" s="653"/>
      <c r="P11" s="653"/>
      <c r="Q11" s="653"/>
      <c r="R11" s="653"/>
      <c r="S11" s="653"/>
      <c r="T11" s="653"/>
      <c r="U11" s="653"/>
      <c r="V11" s="653"/>
      <c r="W11" s="653"/>
      <c r="X11" s="653"/>
      <c r="Y11" s="653"/>
      <c r="Z11" s="653"/>
      <c r="AA11" s="653"/>
      <c r="AB11" s="653"/>
      <c r="AC11" s="653"/>
      <c r="AD11" s="653"/>
      <c r="AE11" s="653"/>
      <c r="AF11" s="653"/>
      <c r="AG11" s="653"/>
      <c r="AH11" s="653"/>
      <c r="AI11" s="653"/>
      <c r="AJ11" s="653"/>
      <c r="AK11" s="653"/>
      <c r="AL11" s="653"/>
      <c r="AM11" s="653"/>
      <c r="AN11" s="653"/>
      <c r="AO11" s="653"/>
      <c r="AP11" s="653"/>
      <c r="AQ11" s="653"/>
      <c r="AR11" s="653"/>
      <c r="AS11" s="653"/>
      <c r="AT11" s="653"/>
      <c r="AU11" s="653"/>
      <c r="AV11" s="653"/>
      <c r="AW11" s="653"/>
      <c r="AX11" s="653"/>
      <c r="AY11" s="653"/>
      <c r="AZ11" s="653"/>
      <c r="BA11" s="653"/>
      <c r="BB11" s="653"/>
      <c r="BC11" s="653"/>
      <c r="BD11" s="653"/>
      <c r="BE11" s="653"/>
      <c r="BF11" s="653"/>
      <c r="BG11" s="653"/>
      <c r="BH11" s="653"/>
      <c r="BI11" s="653"/>
      <c r="BJ11" s="653"/>
      <c r="BK11" s="653"/>
      <c r="BL11" s="653"/>
      <c r="BM11" s="653"/>
      <c r="BN11" s="653"/>
      <c r="BO11" s="653"/>
      <c r="BP11" s="653"/>
      <c r="BQ11" s="653"/>
      <c r="BR11" s="653"/>
      <c r="BS11" s="653"/>
      <c r="BT11" s="653"/>
      <c r="BU11" s="653"/>
      <c r="BV11" s="653"/>
      <c r="BW11" s="654"/>
      <c r="BX11" s="636"/>
      <c r="BY11" s="630"/>
      <c r="BZ11" s="728"/>
      <c r="CA11" s="728"/>
      <c r="CB11" s="730"/>
      <c r="CC11" s="622"/>
      <c r="CD11" s="622"/>
      <c r="DM11" s="200"/>
      <c r="EZ11" s="602"/>
      <c r="FC11" s="614"/>
      <c r="FD11" s="614"/>
      <c r="FE11" s="614"/>
      <c r="FF11" s="614"/>
      <c r="FG11" s="614"/>
      <c r="FI11" s="614"/>
      <c r="FJ11" s="614"/>
      <c r="FK11" s="614"/>
      <c r="FL11" s="614"/>
      <c r="FM11" s="614"/>
      <c r="FO11" s="614"/>
      <c r="FP11" s="614"/>
      <c r="FQ11" s="614"/>
      <c r="FR11" s="614"/>
      <c r="FS11" s="614"/>
      <c r="FU11" s="614"/>
      <c r="FV11" s="614"/>
      <c r="FW11" s="614"/>
      <c r="FX11" s="614"/>
      <c r="FY11" s="614"/>
      <c r="GA11" s="614"/>
      <c r="GB11" s="614"/>
      <c r="GC11" s="614"/>
      <c r="GD11" s="614"/>
      <c r="GE11" s="614"/>
      <c r="GG11" s="614"/>
      <c r="GH11" s="614"/>
      <c r="GI11" s="614"/>
      <c r="GJ11" s="614"/>
      <c r="GK11" s="614"/>
      <c r="GM11" s="602"/>
      <c r="GO11" s="614"/>
      <c r="GP11" s="614"/>
      <c r="GQ11" s="614"/>
      <c r="GR11" s="614"/>
      <c r="GS11" s="614"/>
      <c r="GT11" s="25"/>
      <c r="GU11" s="614"/>
      <c r="GV11" s="614"/>
      <c r="GW11" s="614"/>
      <c r="GX11" s="614"/>
      <c r="GY11" s="614"/>
      <c r="GZ11" s="25"/>
      <c r="HA11" s="614"/>
      <c r="HB11" s="614"/>
      <c r="HC11" s="614"/>
      <c r="HD11" s="614"/>
      <c r="HE11" s="614"/>
      <c r="HF11" s="25"/>
      <c r="HG11" s="614"/>
      <c r="HH11" s="614"/>
      <c r="HI11" s="614"/>
      <c r="HJ11" s="614"/>
      <c r="HK11" s="614"/>
      <c r="HL11" s="25"/>
      <c r="HM11" s="614"/>
      <c r="HN11" s="614"/>
      <c r="HO11" s="614"/>
      <c r="HP11" s="614"/>
      <c r="HQ11" s="614"/>
      <c r="HR11" s="25"/>
      <c r="HS11" s="614"/>
      <c r="HT11" s="614"/>
      <c r="HU11" s="614"/>
      <c r="HV11" s="614"/>
      <c r="HW11" s="614"/>
      <c r="HX11" s="25"/>
      <c r="HY11" s="602"/>
    </row>
    <row r="12" spans="1:233" ht="24" customHeight="1" thickBot="1">
      <c r="A12" s="617"/>
      <c r="B12" s="617"/>
      <c r="C12" s="617"/>
      <c r="D12" s="617"/>
      <c r="E12" s="427"/>
      <c r="F12" s="70">
        <v>1</v>
      </c>
      <c r="G12" s="71">
        <v>2</v>
      </c>
      <c r="H12" s="71">
        <v>3</v>
      </c>
      <c r="I12" s="71">
        <v>4</v>
      </c>
      <c r="J12" s="71">
        <v>5</v>
      </c>
      <c r="K12" s="71">
        <v>6</v>
      </c>
      <c r="L12" s="71">
        <v>7</v>
      </c>
      <c r="M12" s="71">
        <v>8</v>
      </c>
      <c r="N12" s="71">
        <v>9</v>
      </c>
      <c r="O12" s="71">
        <v>10</v>
      </c>
      <c r="P12" s="71">
        <v>11</v>
      </c>
      <c r="Q12" s="71">
        <v>12</v>
      </c>
      <c r="R12" s="71">
        <v>13</v>
      </c>
      <c r="S12" s="71">
        <v>14</v>
      </c>
      <c r="T12" s="71">
        <v>15</v>
      </c>
      <c r="U12" s="71">
        <v>16</v>
      </c>
      <c r="V12" s="71">
        <v>17</v>
      </c>
      <c r="W12" s="71">
        <v>18</v>
      </c>
      <c r="X12" s="71">
        <v>19</v>
      </c>
      <c r="Y12" s="71">
        <v>20</v>
      </c>
      <c r="Z12" s="71">
        <v>21</v>
      </c>
      <c r="AA12" s="71">
        <v>22</v>
      </c>
      <c r="AB12" s="71">
        <v>23</v>
      </c>
      <c r="AC12" s="71">
        <v>24</v>
      </c>
      <c r="AD12" s="71">
        <v>25</v>
      </c>
      <c r="AE12" s="71">
        <v>26</v>
      </c>
      <c r="AF12" s="71">
        <v>27</v>
      </c>
      <c r="AG12" s="71">
        <v>28</v>
      </c>
      <c r="AH12" s="71">
        <v>29</v>
      </c>
      <c r="AI12" s="71">
        <v>30</v>
      </c>
      <c r="AJ12" s="71">
        <v>31</v>
      </c>
      <c r="AK12" s="71">
        <v>32</v>
      </c>
      <c r="AL12" s="71">
        <v>33</v>
      </c>
      <c r="AM12" s="71">
        <v>34</v>
      </c>
      <c r="AN12" s="71">
        <v>35</v>
      </c>
      <c r="AO12" s="71">
        <v>36</v>
      </c>
      <c r="AP12" s="71">
        <v>37</v>
      </c>
      <c r="AQ12" s="71">
        <v>38</v>
      </c>
      <c r="AR12" s="71">
        <v>39</v>
      </c>
      <c r="AS12" s="71">
        <v>40</v>
      </c>
      <c r="AT12" s="71">
        <v>41</v>
      </c>
      <c r="AU12" s="71">
        <v>42</v>
      </c>
      <c r="AV12" s="71">
        <v>43</v>
      </c>
      <c r="AW12" s="71">
        <v>44</v>
      </c>
      <c r="AX12" s="71">
        <v>45</v>
      </c>
      <c r="AY12" s="71">
        <v>46</v>
      </c>
      <c r="AZ12" s="71">
        <v>47</v>
      </c>
      <c r="BA12" s="71">
        <v>48</v>
      </c>
      <c r="BB12" s="71">
        <v>49</v>
      </c>
      <c r="BC12" s="71">
        <v>50</v>
      </c>
      <c r="BD12" s="71">
        <v>51</v>
      </c>
      <c r="BE12" s="71">
        <v>52</v>
      </c>
      <c r="BF12" s="71">
        <v>53</v>
      </c>
      <c r="BG12" s="71">
        <v>54</v>
      </c>
      <c r="BH12" s="71">
        <v>55</v>
      </c>
      <c r="BI12" s="71">
        <v>56</v>
      </c>
      <c r="BJ12" s="71">
        <v>57</v>
      </c>
      <c r="BK12" s="71">
        <v>58</v>
      </c>
      <c r="BL12" s="71">
        <v>59</v>
      </c>
      <c r="BM12" s="71">
        <v>60</v>
      </c>
      <c r="BN12" s="71">
        <v>61</v>
      </c>
      <c r="BO12" s="71">
        <v>62</v>
      </c>
      <c r="BP12" s="71">
        <v>63</v>
      </c>
      <c r="BQ12" s="71">
        <v>64</v>
      </c>
      <c r="BR12" s="71">
        <v>65</v>
      </c>
      <c r="BS12" s="71">
        <v>66</v>
      </c>
      <c r="BT12" s="71">
        <v>67</v>
      </c>
      <c r="BU12" s="71">
        <v>68</v>
      </c>
      <c r="BV12" s="71">
        <v>69</v>
      </c>
      <c r="BW12" s="72">
        <v>70</v>
      </c>
      <c r="BX12" s="636"/>
      <c r="BY12" s="630"/>
      <c r="BZ12" s="728"/>
      <c r="CA12" s="728"/>
      <c r="CB12" s="730"/>
      <c r="CC12" s="622"/>
      <c r="CD12" s="622"/>
      <c r="CG12" s="198"/>
      <c r="CH12" s="198"/>
      <c r="CI12" s="198"/>
      <c r="CJ12" s="198"/>
      <c r="CK12" s="532"/>
      <c r="CL12" s="532"/>
      <c r="CM12" s="532"/>
      <c r="CO12" s="532"/>
      <c r="CP12" s="532"/>
      <c r="CQ12" s="532"/>
      <c r="CR12" s="532"/>
      <c r="CS12" s="198"/>
      <c r="CU12" s="198"/>
      <c r="CV12" s="198"/>
      <c r="CW12" s="198"/>
      <c r="CX12" s="198"/>
      <c r="CY12" s="198"/>
      <c r="DA12" s="198"/>
      <c r="DB12" s="198"/>
      <c r="DC12" s="198"/>
      <c r="DD12" s="198"/>
      <c r="DE12" s="198"/>
      <c r="DG12" s="198"/>
      <c r="DH12" s="198"/>
      <c r="DI12" s="198"/>
      <c r="DJ12" s="198"/>
      <c r="DK12" s="198"/>
      <c r="DM12" s="200"/>
      <c r="DP12" s="198"/>
      <c r="DQ12" s="198"/>
      <c r="DR12" s="198"/>
      <c r="DS12" s="198"/>
      <c r="DT12" s="198"/>
      <c r="DV12" s="198"/>
      <c r="DW12" s="198"/>
      <c r="DX12" s="198"/>
      <c r="DY12" s="198"/>
      <c r="DZ12" s="198"/>
      <c r="EB12" s="198"/>
      <c r="EC12" s="198"/>
      <c r="ED12" s="198"/>
      <c r="EE12" s="198"/>
      <c r="EF12" s="198"/>
      <c r="EH12" s="198"/>
      <c r="EI12" s="198"/>
      <c r="EJ12" s="198"/>
      <c r="EK12" s="198"/>
      <c r="EL12" s="198"/>
      <c r="EN12" s="198"/>
      <c r="EO12" s="198"/>
      <c r="EP12" s="198"/>
      <c r="EQ12" s="198"/>
      <c r="ER12" s="198"/>
      <c r="ET12" s="198"/>
      <c r="EU12" s="198"/>
      <c r="EV12" s="198"/>
      <c r="EW12" s="198"/>
      <c r="EX12" s="198"/>
      <c r="EZ12" s="602"/>
      <c r="FC12" s="77"/>
      <c r="FD12" s="77"/>
      <c r="FE12" s="77"/>
      <c r="FF12" s="77"/>
      <c r="FG12" s="77"/>
      <c r="FI12" s="77"/>
      <c r="FJ12" s="77"/>
      <c r="FK12" s="77"/>
      <c r="FL12" s="77"/>
      <c r="FM12" s="77"/>
      <c r="FO12" s="77"/>
      <c r="FP12" s="77"/>
      <c r="FQ12" s="77"/>
      <c r="FR12" s="77"/>
      <c r="FS12" s="77"/>
      <c r="FU12" s="77"/>
      <c r="FV12" s="77"/>
      <c r="FW12" s="77"/>
      <c r="FX12" s="77"/>
      <c r="FY12" s="77"/>
      <c r="GA12" s="77"/>
      <c r="GB12" s="77"/>
      <c r="GC12" s="77"/>
      <c r="GD12" s="77"/>
      <c r="GE12" s="77"/>
      <c r="GG12" s="77"/>
      <c r="GH12" s="77"/>
      <c r="GI12" s="77"/>
      <c r="GJ12" s="77"/>
      <c r="GK12" s="77"/>
      <c r="GM12" s="602"/>
      <c r="GO12" s="77"/>
      <c r="GP12" s="77"/>
      <c r="GQ12" s="77"/>
      <c r="GR12" s="77"/>
      <c r="GS12" s="77"/>
      <c r="GT12" s="25"/>
      <c r="GU12" s="77"/>
      <c r="GV12" s="77"/>
      <c r="GW12" s="77"/>
      <c r="GX12" s="77"/>
      <c r="GY12" s="77"/>
      <c r="GZ12" s="25"/>
      <c r="HA12" s="77"/>
      <c r="HB12" s="77"/>
      <c r="HC12" s="77"/>
      <c r="HD12" s="77"/>
      <c r="HE12" s="77"/>
      <c r="HF12" s="25"/>
      <c r="HG12" s="77"/>
      <c r="HH12" s="77"/>
      <c r="HI12" s="77"/>
      <c r="HJ12" s="77"/>
      <c r="HK12" s="77"/>
      <c r="HL12" s="25"/>
      <c r="HM12" s="77"/>
      <c r="HN12" s="77"/>
      <c r="HO12" s="77"/>
      <c r="HP12" s="77"/>
      <c r="HQ12" s="77"/>
      <c r="HR12" s="25"/>
      <c r="HS12" s="77"/>
      <c r="HT12" s="77"/>
      <c r="HU12" s="77"/>
      <c r="HV12" s="77"/>
      <c r="HW12" s="77"/>
      <c r="HX12" s="25"/>
      <c r="HY12" s="602"/>
    </row>
    <row r="13" spans="1:233" ht="42.75" customHeight="1" thickBot="1">
      <c r="A13" s="453" t="s">
        <v>0</v>
      </c>
      <c r="B13" s="618" t="s">
        <v>200</v>
      </c>
      <c r="C13" s="619"/>
      <c r="D13" s="620"/>
      <c r="E13" s="454" t="s">
        <v>20</v>
      </c>
      <c r="F13" s="100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  <c r="S13" s="101"/>
      <c r="T13" s="101"/>
      <c r="U13" s="101"/>
      <c r="V13" s="101"/>
      <c r="W13" s="101"/>
      <c r="X13" s="101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1"/>
      <c r="AL13" s="101"/>
      <c r="AM13" s="101"/>
      <c r="AN13" s="101"/>
      <c r="AO13" s="101"/>
      <c r="AP13" s="101"/>
      <c r="AQ13" s="101"/>
      <c r="AR13" s="101"/>
      <c r="AS13" s="101"/>
      <c r="AT13" s="101"/>
      <c r="AU13" s="101"/>
      <c r="AV13" s="101"/>
      <c r="AW13" s="101"/>
      <c r="AX13" s="101"/>
      <c r="AY13" s="101"/>
      <c r="AZ13" s="101"/>
      <c r="BA13" s="101"/>
      <c r="BB13" s="101"/>
      <c r="BC13" s="101"/>
      <c r="BD13" s="101"/>
      <c r="BE13" s="101"/>
      <c r="BF13" s="101"/>
      <c r="BG13" s="101"/>
      <c r="BH13" s="101"/>
      <c r="BI13" s="101"/>
      <c r="BJ13" s="101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1"/>
      <c r="BV13" s="101"/>
      <c r="BW13" s="109"/>
      <c r="BX13" s="637"/>
      <c r="BY13" s="631"/>
      <c r="BZ13" s="729"/>
      <c r="CA13" s="729"/>
      <c r="CB13" s="731"/>
      <c r="CC13" s="623"/>
      <c r="CD13" s="623"/>
      <c r="CF13" s="434" t="s">
        <v>296</v>
      </c>
      <c r="CG13" s="435" t="s">
        <v>281</v>
      </c>
      <c r="CH13" s="435" t="s">
        <v>295</v>
      </c>
      <c r="CI13" s="435" t="s">
        <v>297</v>
      </c>
      <c r="CJ13" s="435" t="s">
        <v>298</v>
      </c>
      <c r="CK13" s="47"/>
      <c r="CL13" s="47"/>
      <c r="CM13" s="47" t="s">
        <v>254</v>
      </c>
      <c r="CN13" s="532" t="s">
        <v>253</v>
      </c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47"/>
      <c r="DG13" s="47"/>
      <c r="DH13" s="47"/>
      <c r="DI13" s="47"/>
      <c r="DJ13" s="47"/>
      <c r="DK13" s="47"/>
      <c r="DL13" s="47"/>
      <c r="DM13" s="200"/>
      <c r="DP13" s="47"/>
      <c r="DQ13" s="47"/>
      <c r="DR13" s="47"/>
      <c r="DS13" s="47"/>
      <c r="DT13" s="47"/>
      <c r="DU13" s="47"/>
      <c r="DV13" s="47"/>
      <c r="DW13" s="47"/>
      <c r="DX13" s="47"/>
      <c r="DY13" s="47"/>
      <c r="DZ13" s="47"/>
      <c r="EA13" s="47"/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47"/>
      <c r="ER13" s="47"/>
      <c r="ES13" s="47"/>
      <c r="ET13" s="47"/>
      <c r="EU13" s="47"/>
      <c r="EV13" s="47"/>
      <c r="EW13" s="47"/>
      <c r="EX13" s="47"/>
      <c r="EY13" s="47"/>
      <c r="EZ13" s="602"/>
      <c r="FC13" s="47"/>
      <c r="FD13" s="47"/>
      <c r="FE13" s="47"/>
      <c r="FF13" s="47"/>
      <c r="FG13" s="47"/>
      <c r="FH13" s="47"/>
      <c r="FI13" s="47"/>
      <c r="FJ13" s="47"/>
      <c r="FK13" s="47"/>
      <c r="FL13" s="47"/>
      <c r="FM13" s="47"/>
      <c r="FN13" s="47"/>
      <c r="FO13" s="47"/>
      <c r="FP13" s="47"/>
      <c r="FQ13" s="47"/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47"/>
      <c r="GH13" s="47"/>
      <c r="GI13" s="47"/>
      <c r="GJ13" s="47"/>
      <c r="GK13" s="47"/>
      <c r="GL13" s="47"/>
      <c r="GM13" s="602"/>
      <c r="GO13" s="47"/>
      <c r="GP13" s="47"/>
      <c r="GQ13" s="47"/>
      <c r="GR13" s="47"/>
      <c r="GS13" s="47"/>
      <c r="GT13" s="47"/>
      <c r="GU13" s="47"/>
      <c r="GV13" s="47"/>
      <c r="GW13" s="47"/>
      <c r="GX13" s="47"/>
      <c r="GY13" s="47"/>
      <c r="GZ13" s="47"/>
      <c r="HA13" s="47"/>
      <c r="HB13" s="47"/>
      <c r="HC13" s="47"/>
      <c r="HD13" s="47"/>
      <c r="HE13" s="47"/>
      <c r="HF13" s="47"/>
      <c r="HG13" s="47"/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47"/>
      <c r="HX13" s="47"/>
      <c r="HY13" s="602"/>
    </row>
    <row r="14" spans="1:233" ht="21.75" customHeight="1">
      <c r="A14" s="188">
        <f>--SUBTOTAL(2,CN$13:CN14)</f>
        <v>1</v>
      </c>
      <c r="B14" s="641" t="str">
        <f>IF(FILIACIÓN!B11="","",UPPER(FILIACIÓN!B11))</f>
        <v/>
      </c>
      <c r="C14" s="642"/>
      <c r="D14" s="643"/>
      <c r="E14" s="445" t="str">
        <f>IFERROR(CD14,"")</f>
        <v/>
      </c>
      <c r="F14" s="158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292"/>
      <c r="V14" s="293"/>
      <c r="W14" s="159"/>
      <c r="X14" s="159"/>
      <c r="Y14" s="159"/>
      <c r="Z14" s="159"/>
      <c r="AA14" s="159"/>
      <c r="AB14" s="159"/>
      <c r="AC14" s="159"/>
      <c r="AD14" s="159"/>
      <c r="AE14" s="159"/>
      <c r="AF14" s="159"/>
      <c r="AG14" s="159"/>
      <c r="AH14" s="159"/>
      <c r="AI14" s="159"/>
      <c r="AJ14" s="159"/>
      <c r="AK14" s="159"/>
      <c r="AL14" s="159"/>
      <c r="AM14" s="159"/>
      <c r="AN14" s="159"/>
      <c r="AO14" s="159"/>
      <c r="AP14" s="159"/>
      <c r="AQ14" s="159"/>
      <c r="AR14" s="159"/>
      <c r="AS14" s="159"/>
      <c r="AT14" s="159"/>
      <c r="AU14" s="159"/>
      <c r="AV14" s="159"/>
      <c r="AW14" s="159"/>
      <c r="AX14" s="159"/>
      <c r="AY14" s="159"/>
      <c r="AZ14" s="159"/>
      <c r="BA14" s="159"/>
      <c r="BB14" s="159"/>
      <c r="BC14" s="159"/>
      <c r="BD14" s="159"/>
      <c r="BE14" s="159"/>
      <c r="BF14" s="159"/>
      <c r="BG14" s="159"/>
      <c r="BH14" s="159"/>
      <c r="BI14" s="159"/>
      <c r="BJ14" s="159"/>
      <c r="BK14" s="159"/>
      <c r="BL14" s="159"/>
      <c r="BM14" s="159"/>
      <c r="BN14" s="159"/>
      <c r="BO14" s="159"/>
      <c r="BP14" s="159"/>
      <c r="BQ14" s="159"/>
      <c r="BR14" s="159"/>
      <c r="BS14" s="159"/>
      <c r="BT14" s="159"/>
      <c r="BU14" s="159"/>
      <c r="BV14" s="159"/>
      <c r="BW14" s="160"/>
      <c r="BX14" s="177">
        <f>COUNTIF(F14:BW14,"L")</f>
        <v>0</v>
      </c>
      <c r="BY14" s="178">
        <f>COUNTIF(F14:BW14,"F")</f>
        <v>0</v>
      </c>
      <c r="BZ14" s="176">
        <f t="shared" ref="BZ14:BZ63" si="0">COUNTIF(F14:BW14,"T")</f>
        <v>0</v>
      </c>
      <c r="CA14" s="176">
        <f t="shared" ref="CA14:CA63" si="1">COUNTIF(F14:BW14,"A")</f>
        <v>0</v>
      </c>
      <c r="CB14" s="185">
        <f>SUM(BZ14:CA14)</f>
        <v>0</v>
      </c>
      <c r="CC14" s="455" t="str">
        <f>FILIACIÓN!Y11</f>
        <v/>
      </c>
      <c r="CD14" s="442" t="str">
        <f t="shared" ref="CD14:CD56" si="2">IFERROR(IF($CD$8="","",SUM(($B$70*BZ14)/$CD$8,($B$67*CA14)/$CD$8,($B$69*BX14)/$CD$8)),"")</f>
        <v/>
      </c>
      <c r="CE14" s="78"/>
      <c r="CF14" s="436"/>
      <c r="CG14" s="437"/>
      <c r="CH14" s="437"/>
      <c r="CI14" s="437"/>
      <c r="CJ14" s="437"/>
      <c r="CK14" s="43"/>
      <c r="CL14" s="43"/>
      <c r="CM14" s="43" t="str">
        <f>IF(FILIACIÓN!Z11="MOSTRAR","1","")</f>
        <v/>
      </c>
      <c r="CN14" s="43">
        <v>1</v>
      </c>
      <c r="CO14" s="43"/>
      <c r="CP14" s="43"/>
      <c r="CQ14" s="43"/>
      <c r="CR14" s="43"/>
      <c r="CS14" s="43"/>
      <c r="CU14" s="43"/>
      <c r="CV14" s="43"/>
      <c r="CW14" s="43"/>
      <c r="CX14" s="43"/>
      <c r="CY14" s="43"/>
      <c r="DA14" s="43"/>
      <c r="DB14" s="43"/>
      <c r="DC14" s="43"/>
      <c r="DD14" s="43"/>
      <c r="DE14" s="43"/>
      <c r="DG14" s="43"/>
      <c r="DH14" s="43"/>
      <c r="DI14" s="43"/>
      <c r="DJ14" s="43"/>
      <c r="DK14" s="43"/>
      <c r="DP14" s="43"/>
      <c r="DQ14" s="43"/>
      <c r="DR14" s="43"/>
      <c r="DS14" s="43"/>
      <c r="DT14" s="43"/>
      <c r="DV14" s="43"/>
      <c r="DW14" s="43"/>
      <c r="DX14" s="43"/>
      <c r="DY14" s="43"/>
      <c r="DZ14" s="43"/>
      <c r="EB14" s="43"/>
      <c r="EC14" s="43"/>
      <c r="ED14" s="43"/>
      <c r="EE14" s="43"/>
      <c r="EF14" s="43"/>
      <c r="EH14" s="43"/>
      <c r="EI14" s="43"/>
      <c r="EJ14" s="43"/>
      <c r="EK14" s="43"/>
      <c r="EL14" s="43"/>
      <c r="EN14" s="43"/>
      <c r="EO14" s="43"/>
      <c r="EP14" s="43"/>
      <c r="EQ14" s="43"/>
      <c r="ER14" s="43"/>
      <c r="ET14" s="43"/>
      <c r="EU14" s="43"/>
      <c r="EV14" s="43"/>
      <c r="EW14" s="43"/>
      <c r="EX14" s="43"/>
      <c r="EZ14" s="43"/>
      <c r="FC14" s="43"/>
      <c r="FD14" s="43"/>
      <c r="FE14" s="43"/>
      <c r="FF14" s="43"/>
      <c r="FG14" s="43"/>
      <c r="FI14" s="43"/>
      <c r="FJ14" s="43"/>
      <c r="FK14" s="43"/>
      <c r="FL14" s="43"/>
      <c r="FM14" s="43"/>
      <c r="FO14" s="43"/>
      <c r="FP14" s="43"/>
      <c r="FQ14" s="43"/>
      <c r="FR14" s="43"/>
      <c r="FS14" s="43"/>
      <c r="FU14" s="43"/>
      <c r="FV14" s="43"/>
      <c r="FW14" s="43"/>
      <c r="FX14" s="43"/>
      <c r="FY14" s="43"/>
      <c r="GA14" s="43"/>
      <c r="GB14" s="43"/>
      <c r="GC14" s="43"/>
      <c r="GD14" s="43"/>
      <c r="GE14" s="43"/>
      <c r="GG14" s="43"/>
      <c r="GH14" s="43"/>
      <c r="GI14" s="43"/>
      <c r="GJ14" s="43"/>
      <c r="GK14" s="43"/>
      <c r="GM14" s="77"/>
      <c r="GO14" s="43"/>
      <c r="GP14" s="43"/>
      <c r="GQ14" s="43"/>
      <c r="GR14" s="43"/>
      <c r="GS14" s="43"/>
      <c r="GT14" s="25"/>
      <c r="GU14" s="43"/>
      <c r="GV14" s="43"/>
      <c r="GW14" s="43"/>
      <c r="GX14" s="43"/>
      <c r="GY14" s="43"/>
      <c r="GZ14" s="25"/>
      <c r="HA14" s="43"/>
      <c r="HB14" s="43"/>
      <c r="HC14" s="43"/>
      <c r="HD14" s="43"/>
      <c r="HE14" s="43"/>
      <c r="HF14" s="25"/>
      <c r="HG14" s="43"/>
      <c r="HH14" s="43"/>
      <c r="HI14" s="43"/>
      <c r="HJ14" s="43"/>
      <c r="HK14" s="43"/>
      <c r="HL14" s="25"/>
      <c r="HM14" s="43"/>
      <c r="HN14" s="43"/>
      <c r="HO14" s="43"/>
      <c r="HP14" s="43"/>
      <c r="HQ14" s="43"/>
      <c r="HR14" s="25"/>
      <c r="HS14" s="43"/>
      <c r="HT14" s="43"/>
      <c r="HU14" s="43"/>
      <c r="HV14" s="43"/>
      <c r="HW14" s="43"/>
      <c r="HX14" s="25"/>
      <c r="HY14" s="77"/>
    </row>
    <row r="15" spans="1:233" ht="21.75" customHeight="1">
      <c r="A15" s="189">
        <f>--SUBTOTAL(2,CN$13:CN15)</f>
        <v>2</v>
      </c>
      <c r="B15" s="638" t="str">
        <f>IF(FILIACIÓN!B12="","",UPPER(FILIACIÓN!B12))</f>
        <v/>
      </c>
      <c r="C15" s="639"/>
      <c r="D15" s="640"/>
      <c r="E15" s="446" t="str">
        <f t="shared" ref="E15:E63" si="3">IFERROR(CD15,"")</f>
        <v/>
      </c>
      <c r="F15" s="161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294"/>
      <c r="V15" s="295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3"/>
      <c r="BX15" s="180">
        <f t="shared" ref="BX15:BX63" si="4">COUNTIF(F15:BW15,"L")</f>
        <v>0</v>
      </c>
      <c r="BY15" s="181">
        <f t="shared" ref="BY15:BY63" si="5">COUNTIF(F15:BW15,"F")</f>
        <v>0</v>
      </c>
      <c r="BZ15" s="179">
        <f t="shared" si="0"/>
        <v>0</v>
      </c>
      <c r="CA15" s="186">
        <f t="shared" si="1"/>
        <v>0</v>
      </c>
      <c r="CB15" s="186">
        <f t="shared" ref="CB15:CB62" si="6">SUM(BZ15:CA15)</f>
        <v>0</v>
      </c>
      <c r="CC15" s="456" t="str">
        <f>FILIACIÓN!Y12</f>
        <v/>
      </c>
      <c r="CD15" s="443" t="str">
        <f t="shared" si="2"/>
        <v/>
      </c>
      <c r="CE15" s="78"/>
      <c r="CF15" s="436"/>
      <c r="CG15" s="437"/>
      <c r="CH15" s="437"/>
      <c r="CI15" s="437"/>
      <c r="CJ15" s="437"/>
      <c r="CK15" s="43"/>
      <c r="CL15" s="43"/>
      <c r="CM15" s="43" t="str">
        <f>IF(FILIACIÓN!Z12="MOSTRAR","1","")</f>
        <v/>
      </c>
      <c r="CN15" s="43">
        <v>2</v>
      </c>
      <c r="CO15" s="43"/>
      <c r="CP15" s="43"/>
      <c r="CQ15" s="43"/>
      <c r="CR15" s="43"/>
      <c r="CS15" s="43"/>
      <c r="CU15" s="43"/>
      <c r="CV15" s="43"/>
      <c r="CW15" s="43"/>
      <c r="CX15" s="43"/>
      <c r="CY15" s="43"/>
      <c r="DA15" s="43"/>
      <c r="DB15" s="43"/>
      <c r="DC15" s="43"/>
      <c r="DD15" s="43"/>
      <c r="DE15" s="43"/>
      <c r="DG15" s="43"/>
      <c r="DH15" s="43"/>
      <c r="DI15" s="43"/>
      <c r="DJ15" s="43"/>
      <c r="DK15" s="43"/>
      <c r="DP15" s="43"/>
      <c r="DQ15" s="43"/>
      <c r="DR15" s="43"/>
      <c r="DS15" s="43"/>
      <c r="DT15" s="43"/>
      <c r="DV15" s="43"/>
      <c r="DW15" s="43"/>
      <c r="DX15" s="43"/>
      <c r="DY15" s="43"/>
      <c r="DZ15" s="43"/>
      <c r="EB15" s="43"/>
      <c r="EC15" s="43"/>
      <c r="ED15" s="43"/>
      <c r="EE15" s="43"/>
      <c r="EF15" s="43"/>
      <c r="EH15" s="43"/>
      <c r="EI15" s="43"/>
      <c r="EJ15" s="43"/>
      <c r="EK15" s="43"/>
      <c r="EL15" s="43"/>
      <c r="EN15" s="43"/>
      <c r="EO15" s="43"/>
      <c r="EP15" s="43"/>
      <c r="EQ15" s="43"/>
      <c r="ER15" s="43"/>
      <c r="ET15" s="43"/>
      <c r="EU15" s="43"/>
      <c r="EV15" s="43"/>
      <c r="EW15" s="43"/>
      <c r="EX15" s="43"/>
      <c r="EZ15" s="43"/>
      <c r="FC15" s="43"/>
      <c r="FD15" s="43"/>
      <c r="FE15" s="43"/>
      <c r="FF15" s="43"/>
      <c r="FG15" s="43"/>
      <c r="FI15" s="43"/>
      <c r="FJ15" s="43"/>
      <c r="FK15" s="43"/>
      <c r="FL15" s="43"/>
      <c r="FM15" s="43"/>
      <c r="FO15" s="43"/>
      <c r="FP15" s="43"/>
      <c r="FQ15" s="43"/>
      <c r="FR15" s="43"/>
      <c r="FS15" s="43"/>
      <c r="FU15" s="43"/>
      <c r="FV15" s="43"/>
      <c r="FW15" s="43"/>
      <c r="FX15" s="43"/>
      <c r="FY15" s="43"/>
      <c r="GA15" s="43"/>
      <c r="GB15" s="43"/>
      <c r="GC15" s="43"/>
      <c r="GD15" s="43"/>
      <c r="GE15" s="43"/>
      <c r="GG15" s="43"/>
      <c r="GH15" s="43"/>
      <c r="GI15" s="43"/>
      <c r="GJ15" s="43"/>
      <c r="GK15" s="43"/>
      <c r="GM15" s="77"/>
      <c r="GO15" s="43"/>
      <c r="GP15" s="43"/>
      <c r="GQ15" s="43"/>
      <c r="GR15" s="43"/>
      <c r="GS15" s="43"/>
      <c r="GT15" s="25"/>
      <c r="GU15" s="43"/>
      <c r="GV15" s="43"/>
      <c r="GW15" s="43"/>
      <c r="GX15" s="43"/>
      <c r="GY15" s="43"/>
      <c r="GZ15" s="25"/>
      <c r="HA15" s="43"/>
      <c r="HB15" s="43"/>
      <c r="HC15" s="43"/>
      <c r="HD15" s="43"/>
      <c r="HE15" s="43"/>
      <c r="HF15" s="25"/>
      <c r="HG15" s="43"/>
      <c r="HH15" s="43"/>
      <c r="HI15" s="43"/>
      <c r="HJ15" s="43"/>
      <c r="HK15" s="43"/>
      <c r="HL15" s="25"/>
      <c r="HM15" s="43"/>
      <c r="HN15" s="43"/>
      <c r="HO15" s="43"/>
      <c r="HP15" s="43"/>
      <c r="HQ15" s="43"/>
      <c r="HR15" s="25"/>
      <c r="HS15" s="43"/>
      <c r="HT15" s="43"/>
      <c r="HU15" s="43"/>
      <c r="HV15" s="43"/>
      <c r="HW15" s="43"/>
      <c r="HX15" s="25"/>
      <c r="HY15" s="77"/>
    </row>
    <row r="16" spans="1:233" ht="21.75" customHeight="1">
      <c r="A16" s="189">
        <f>--SUBTOTAL(2,CN$13:CN16)</f>
        <v>3</v>
      </c>
      <c r="B16" s="638" t="str">
        <f>IF(FILIACIÓN!B13="","",UPPER(FILIACIÓN!B13))</f>
        <v/>
      </c>
      <c r="C16" s="639"/>
      <c r="D16" s="640"/>
      <c r="E16" s="446" t="str">
        <f t="shared" si="3"/>
        <v/>
      </c>
      <c r="F16" s="161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294"/>
      <c r="V16" s="295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3"/>
      <c r="BX16" s="180">
        <f t="shared" si="4"/>
        <v>0</v>
      </c>
      <c r="BY16" s="181">
        <f t="shared" si="5"/>
        <v>0</v>
      </c>
      <c r="BZ16" s="179">
        <f t="shared" si="0"/>
        <v>0</v>
      </c>
      <c r="CA16" s="186">
        <f t="shared" si="1"/>
        <v>0</v>
      </c>
      <c r="CB16" s="186">
        <f t="shared" si="6"/>
        <v>0</v>
      </c>
      <c r="CC16" s="456" t="str">
        <f>FILIACIÓN!Y13</f>
        <v/>
      </c>
      <c r="CD16" s="443" t="str">
        <f t="shared" si="2"/>
        <v/>
      </c>
      <c r="CE16" s="78"/>
      <c r="CF16" s="436"/>
      <c r="CG16" s="437"/>
      <c r="CH16" s="437"/>
      <c r="CI16" s="437"/>
      <c r="CJ16" s="437"/>
      <c r="CK16" s="43"/>
      <c r="CL16" s="43"/>
      <c r="CM16" s="43" t="str">
        <f>IF(FILIACIÓN!Z13="MOSTRAR","1","")</f>
        <v/>
      </c>
      <c r="CN16" s="43">
        <v>3</v>
      </c>
      <c r="CO16" s="43"/>
      <c r="CP16" s="43"/>
      <c r="CQ16" s="43"/>
      <c r="CR16" s="43"/>
      <c r="CS16" s="43"/>
      <c r="CU16" s="43"/>
      <c r="CV16" s="43"/>
      <c r="CW16" s="43"/>
      <c r="CX16" s="43"/>
      <c r="CY16" s="43"/>
      <c r="DA16" s="43"/>
      <c r="DB16" s="43"/>
      <c r="DC16" s="43"/>
      <c r="DD16" s="43"/>
      <c r="DE16" s="43"/>
      <c r="DG16" s="43"/>
      <c r="DH16" s="43"/>
      <c r="DI16" s="43"/>
      <c r="DJ16" s="43"/>
      <c r="DK16" s="43"/>
      <c r="DP16" s="43"/>
      <c r="DQ16" s="43"/>
      <c r="DR16" s="43"/>
      <c r="DS16" s="43"/>
      <c r="DT16" s="43"/>
      <c r="DV16" s="43"/>
      <c r="DW16" s="43"/>
      <c r="DX16" s="43"/>
      <c r="DY16" s="43"/>
      <c r="DZ16" s="43"/>
      <c r="EB16" s="43"/>
      <c r="EC16" s="43"/>
      <c r="ED16" s="43"/>
      <c r="EE16" s="43"/>
      <c r="EF16" s="43"/>
      <c r="EH16" s="43"/>
      <c r="EI16" s="43"/>
      <c r="EJ16" s="43"/>
      <c r="EK16" s="43"/>
      <c r="EL16" s="43"/>
      <c r="EN16" s="43"/>
      <c r="EO16" s="43"/>
      <c r="EP16" s="43"/>
      <c r="EQ16" s="43"/>
      <c r="ER16" s="43"/>
      <c r="ET16" s="43"/>
      <c r="EU16" s="43"/>
      <c r="EV16" s="43"/>
      <c r="EW16" s="43"/>
      <c r="EX16" s="43"/>
      <c r="EZ16" s="43"/>
      <c r="FC16" s="43"/>
      <c r="FD16" s="43"/>
      <c r="FE16" s="43"/>
      <c r="FF16" s="43"/>
      <c r="FG16" s="43"/>
      <c r="FI16" s="43"/>
      <c r="FJ16" s="43"/>
      <c r="FK16" s="43"/>
      <c r="FL16" s="43"/>
      <c r="FM16" s="43"/>
      <c r="FO16" s="43"/>
      <c r="FP16" s="43"/>
      <c r="FQ16" s="43"/>
      <c r="FR16" s="43"/>
      <c r="FS16" s="43"/>
      <c r="FU16" s="43"/>
      <c r="FV16" s="43"/>
      <c r="FW16" s="43"/>
      <c r="FX16" s="43"/>
      <c r="FY16" s="43"/>
      <c r="GA16" s="43"/>
      <c r="GB16" s="43"/>
      <c r="GC16" s="43"/>
      <c r="GD16" s="43"/>
      <c r="GE16" s="43"/>
      <c r="GG16" s="43"/>
      <c r="GH16" s="43"/>
      <c r="GI16" s="43"/>
      <c r="GJ16" s="43"/>
      <c r="GK16" s="43"/>
      <c r="GM16" s="77"/>
      <c r="GO16" s="43"/>
      <c r="GP16" s="43"/>
      <c r="GQ16" s="43"/>
      <c r="GR16" s="43"/>
      <c r="GS16" s="43"/>
      <c r="GT16" s="25"/>
      <c r="GU16" s="43"/>
      <c r="GV16" s="43"/>
      <c r="GW16" s="43"/>
      <c r="GX16" s="43"/>
      <c r="GY16" s="43"/>
      <c r="GZ16" s="25"/>
      <c r="HA16" s="43"/>
      <c r="HB16" s="43"/>
      <c r="HC16" s="43"/>
      <c r="HD16" s="43"/>
      <c r="HE16" s="43"/>
      <c r="HF16" s="25"/>
      <c r="HG16" s="43"/>
      <c r="HH16" s="43"/>
      <c r="HI16" s="43"/>
      <c r="HJ16" s="43"/>
      <c r="HK16" s="43"/>
      <c r="HL16" s="25"/>
      <c r="HM16" s="43"/>
      <c r="HN16" s="43"/>
      <c r="HO16" s="43"/>
      <c r="HP16" s="43"/>
      <c r="HQ16" s="43"/>
      <c r="HR16" s="25"/>
      <c r="HS16" s="43"/>
      <c r="HT16" s="43"/>
      <c r="HU16" s="43"/>
      <c r="HV16" s="43"/>
      <c r="HW16" s="43"/>
      <c r="HX16" s="25"/>
      <c r="HY16" s="77"/>
    </row>
    <row r="17" spans="1:233" ht="21.75" customHeight="1">
      <c r="A17" s="189">
        <f>--SUBTOTAL(2,CN$13:CN17)</f>
        <v>4</v>
      </c>
      <c r="B17" s="638" t="str">
        <f>IF(FILIACIÓN!B14="","",UPPER(FILIACIÓN!B14))</f>
        <v/>
      </c>
      <c r="C17" s="639"/>
      <c r="D17" s="640"/>
      <c r="E17" s="446" t="str">
        <f t="shared" si="3"/>
        <v/>
      </c>
      <c r="F17" s="161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294"/>
      <c r="V17" s="295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3"/>
      <c r="BX17" s="180">
        <f t="shared" si="4"/>
        <v>0</v>
      </c>
      <c r="BY17" s="181">
        <f t="shared" si="5"/>
        <v>0</v>
      </c>
      <c r="BZ17" s="179">
        <f t="shared" si="0"/>
        <v>0</v>
      </c>
      <c r="CA17" s="186">
        <f t="shared" si="1"/>
        <v>0</v>
      </c>
      <c r="CB17" s="186">
        <f t="shared" si="6"/>
        <v>0</v>
      </c>
      <c r="CC17" s="456" t="str">
        <f>FILIACIÓN!Y14</f>
        <v/>
      </c>
      <c r="CD17" s="443" t="str">
        <f t="shared" si="2"/>
        <v/>
      </c>
      <c r="CE17" s="78"/>
      <c r="CF17" s="436"/>
      <c r="CG17" s="437"/>
      <c r="CH17" s="437"/>
      <c r="CI17" s="437"/>
      <c r="CJ17" s="437"/>
      <c r="CK17" s="43"/>
      <c r="CL17" s="43"/>
      <c r="CM17" s="43" t="str">
        <f>IF(FILIACIÓN!Z14="MOSTRAR","1","")</f>
        <v/>
      </c>
      <c r="CN17" s="43">
        <v>4</v>
      </c>
      <c r="CO17" s="43"/>
      <c r="CP17" s="43"/>
      <c r="CQ17" s="43"/>
      <c r="CR17" s="43"/>
      <c r="CS17" s="43"/>
      <c r="CU17" s="43"/>
      <c r="CV17" s="43"/>
      <c r="CW17" s="43"/>
      <c r="CX17" s="43"/>
      <c r="CY17" s="43"/>
      <c r="DA17" s="43"/>
      <c r="DB17" s="43"/>
      <c r="DC17" s="43"/>
      <c r="DD17" s="43"/>
      <c r="DE17" s="43"/>
      <c r="DG17" s="43"/>
      <c r="DH17" s="43"/>
      <c r="DI17" s="43"/>
      <c r="DJ17" s="43"/>
      <c r="DK17" s="43"/>
      <c r="DP17" s="43"/>
      <c r="DQ17" s="43"/>
      <c r="DR17" s="43"/>
      <c r="DS17" s="43"/>
      <c r="DT17" s="43"/>
      <c r="DV17" s="43"/>
      <c r="DW17" s="43"/>
      <c r="DX17" s="43"/>
      <c r="DY17" s="43"/>
      <c r="DZ17" s="43"/>
      <c r="EB17" s="43"/>
      <c r="EC17" s="43"/>
      <c r="ED17" s="43"/>
      <c r="EE17" s="43"/>
      <c r="EF17" s="43"/>
      <c r="EH17" s="43"/>
      <c r="EI17" s="43"/>
      <c r="EJ17" s="43"/>
      <c r="EK17" s="43"/>
      <c r="EL17" s="43"/>
      <c r="EN17" s="43"/>
      <c r="EO17" s="43"/>
      <c r="EP17" s="43"/>
      <c r="EQ17" s="43"/>
      <c r="ER17" s="43"/>
      <c r="ET17" s="43"/>
      <c r="EU17" s="43"/>
      <c r="EV17" s="43"/>
      <c r="EW17" s="43"/>
      <c r="EX17" s="43"/>
      <c r="EZ17" s="43"/>
      <c r="FC17" s="43"/>
      <c r="FD17" s="43"/>
      <c r="FE17" s="43"/>
      <c r="FF17" s="43"/>
      <c r="FG17" s="43"/>
      <c r="FI17" s="43"/>
      <c r="FJ17" s="43"/>
      <c r="FK17" s="43"/>
      <c r="FL17" s="43"/>
      <c r="FM17" s="43"/>
      <c r="FO17" s="43"/>
      <c r="FP17" s="43"/>
      <c r="FQ17" s="43"/>
      <c r="FR17" s="43"/>
      <c r="FS17" s="43"/>
      <c r="FU17" s="43"/>
      <c r="FV17" s="43"/>
      <c r="FW17" s="43"/>
      <c r="FX17" s="43"/>
      <c r="FY17" s="43"/>
      <c r="GA17" s="43"/>
      <c r="GB17" s="43"/>
      <c r="GC17" s="43"/>
      <c r="GD17" s="43"/>
      <c r="GE17" s="43"/>
      <c r="GG17" s="43"/>
      <c r="GH17" s="43"/>
      <c r="GI17" s="43"/>
      <c r="GJ17" s="43"/>
      <c r="GK17" s="43"/>
      <c r="GM17" s="77"/>
      <c r="GO17" s="43"/>
      <c r="GP17" s="43"/>
      <c r="GQ17" s="43"/>
      <c r="GR17" s="43"/>
      <c r="GS17" s="43"/>
      <c r="GT17" s="25"/>
      <c r="GU17" s="43"/>
      <c r="GV17" s="43"/>
      <c r="GW17" s="43"/>
      <c r="GX17" s="43"/>
      <c r="GY17" s="43"/>
      <c r="GZ17" s="25"/>
      <c r="HA17" s="43"/>
      <c r="HB17" s="43"/>
      <c r="HC17" s="43"/>
      <c r="HD17" s="43"/>
      <c r="HE17" s="43"/>
      <c r="HF17" s="25"/>
      <c r="HG17" s="43"/>
      <c r="HH17" s="43"/>
      <c r="HI17" s="43"/>
      <c r="HJ17" s="43"/>
      <c r="HK17" s="43"/>
      <c r="HL17" s="25"/>
      <c r="HM17" s="43"/>
      <c r="HN17" s="43"/>
      <c r="HO17" s="43"/>
      <c r="HP17" s="43"/>
      <c r="HQ17" s="43"/>
      <c r="HR17" s="25"/>
      <c r="HS17" s="43"/>
      <c r="HT17" s="43"/>
      <c r="HU17" s="43"/>
      <c r="HV17" s="43"/>
      <c r="HW17" s="43"/>
      <c r="HX17" s="25"/>
      <c r="HY17" s="77"/>
    </row>
    <row r="18" spans="1:233" ht="21.75" customHeight="1">
      <c r="A18" s="189">
        <f>--SUBTOTAL(2,CN$13:CN18)</f>
        <v>5</v>
      </c>
      <c r="B18" s="638" t="str">
        <f>IF(FILIACIÓN!B15="","",UPPER(FILIACIÓN!B15))</f>
        <v/>
      </c>
      <c r="C18" s="639"/>
      <c r="D18" s="640"/>
      <c r="E18" s="446" t="str">
        <f t="shared" si="3"/>
        <v/>
      </c>
      <c r="F18" s="161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294"/>
      <c r="V18" s="295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3"/>
      <c r="BX18" s="180">
        <f t="shared" si="4"/>
        <v>0</v>
      </c>
      <c r="BY18" s="181">
        <f t="shared" si="5"/>
        <v>0</v>
      </c>
      <c r="BZ18" s="179">
        <f t="shared" si="0"/>
        <v>0</v>
      </c>
      <c r="CA18" s="186">
        <f t="shared" si="1"/>
        <v>0</v>
      </c>
      <c r="CB18" s="186">
        <f t="shared" si="6"/>
        <v>0</v>
      </c>
      <c r="CC18" s="456" t="str">
        <f>FILIACIÓN!Y15</f>
        <v/>
      </c>
      <c r="CD18" s="443" t="str">
        <f t="shared" si="2"/>
        <v/>
      </c>
      <c r="CE18" s="78"/>
      <c r="CF18" s="436"/>
      <c r="CG18" s="437"/>
      <c r="CH18" s="437"/>
      <c r="CI18" s="437"/>
      <c r="CJ18" s="437"/>
      <c r="CK18" s="43"/>
      <c r="CL18" s="43"/>
      <c r="CM18" s="43" t="str">
        <f>IF(FILIACIÓN!Z15="MOSTRAR","1","")</f>
        <v/>
      </c>
      <c r="CN18" s="43">
        <v>5</v>
      </c>
      <c r="CO18" s="43"/>
      <c r="CP18" s="43"/>
      <c r="CQ18" s="43"/>
      <c r="CR18" s="43"/>
      <c r="CS18" s="43"/>
      <c r="CU18" s="43"/>
      <c r="CV18" s="43"/>
      <c r="CW18" s="43"/>
      <c r="CX18" s="43"/>
      <c r="CY18" s="43"/>
      <c r="DA18" s="43"/>
      <c r="DB18" s="43"/>
      <c r="DC18" s="43"/>
      <c r="DD18" s="43"/>
      <c r="DE18" s="43"/>
      <c r="DG18" s="43"/>
      <c r="DH18" s="43"/>
      <c r="DI18" s="43"/>
      <c r="DJ18" s="43"/>
      <c r="DK18" s="43"/>
      <c r="DP18" s="43"/>
      <c r="DQ18" s="43"/>
      <c r="DR18" s="43"/>
      <c r="DS18" s="43"/>
      <c r="DT18" s="43"/>
      <c r="DV18" s="43"/>
      <c r="DW18" s="43"/>
      <c r="DX18" s="43"/>
      <c r="DY18" s="43"/>
      <c r="DZ18" s="43"/>
      <c r="EB18" s="43"/>
      <c r="EC18" s="43"/>
      <c r="ED18" s="43"/>
      <c r="EE18" s="43"/>
      <c r="EF18" s="43"/>
      <c r="EH18" s="43"/>
      <c r="EI18" s="43"/>
      <c r="EJ18" s="43"/>
      <c r="EK18" s="43"/>
      <c r="EL18" s="43"/>
      <c r="EN18" s="43"/>
      <c r="EO18" s="43"/>
      <c r="EP18" s="43"/>
      <c r="EQ18" s="43"/>
      <c r="ER18" s="43"/>
      <c r="ET18" s="43"/>
      <c r="EU18" s="43"/>
      <c r="EV18" s="43"/>
      <c r="EW18" s="43"/>
      <c r="EX18" s="43"/>
      <c r="EZ18" s="43"/>
      <c r="FC18" s="43"/>
      <c r="FD18" s="43"/>
      <c r="FE18" s="43"/>
      <c r="FF18" s="43"/>
      <c r="FG18" s="43"/>
      <c r="FI18" s="43"/>
      <c r="FJ18" s="43"/>
      <c r="FK18" s="43"/>
      <c r="FL18" s="43"/>
      <c r="FM18" s="43"/>
      <c r="FO18" s="43"/>
      <c r="FP18" s="43"/>
      <c r="FQ18" s="43"/>
      <c r="FR18" s="43"/>
      <c r="FS18" s="43"/>
      <c r="FU18" s="43"/>
      <c r="FV18" s="43"/>
      <c r="FW18" s="43"/>
      <c r="FX18" s="43"/>
      <c r="FY18" s="43"/>
      <c r="GA18" s="43"/>
      <c r="GB18" s="43"/>
      <c r="GC18" s="43"/>
      <c r="GD18" s="43"/>
      <c r="GE18" s="43"/>
      <c r="GG18" s="43"/>
      <c r="GH18" s="43"/>
      <c r="GI18" s="43"/>
      <c r="GJ18" s="43"/>
      <c r="GK18" s="43"/>
      <c r="GM18" s="77"/>
      <c r="GO18" s="43"/>
      <c r="GP18" s="43"/>
      <c r="GQ18" s="43"/>
      <c r="GR18" s="43"/>
      <c r="GS18" s="43"/>
      <c r="GT18" s="25"/>
      <c r="GU18" s="43"/>
      <c r="GV18" s="43"/>
      <c r="GW18" s="43"/>
      <c r="GX18" s="43"/>
      <c r="GY18" s="43"/>
      <c r="GZ18" s="25"/>
      <c r="HA18" s="43"/>
      <c r="HB18" s="43"/>
      <c r="HC18" s="43"/>
      <c r="HD18" s="43"/>
      <c r="HE18" s="43"/>
      <c r="HF18" s="25"/>
      <c r="HG18" s="43"/>
      <c r="HH18" s="43"/>
      <c r="HI18" s="43"/>
      <c r="HJ18" s="43"/>
      <c r="HK18" s="43"/>
      <c r="HL18" s="25"/>
      <c r="HM18" s="43"/>
      <c r="HN18" s="43"/>
      <c r="HO18" s="43"/>
      <c r="HP18" s="43"/>
      <c r="HQ18" s="43"/>
      <c r="HR18" s="25"/>
      <c r="HS18" s="43"/>
      <c r="HT18" s="43"/>
      <c r="HU18" s="43"/>
      <c r="HV18" s="43"/>
      <c r="HW18" s="43"/>
      <c r="HX18" s="25"/>
      <c r="HY18" s="77"/>
    </row>
    <row r="19" spans="1:233" ht="21.75" customHeight="1">
      <c r="A19" s="189">
        <f>--SUBTOTAL(2,CN$13:CN19)</f>
        <v>6</v>
      </c>
      <c r="B19" s="638" t="str">
        <f>IF(FILIACIÓN!B16="","",UPPER(FILIACIÓN!B16))</f>
        <v/>
      </c>
      <c r="C19" s="639"/>
      <c r="D19" s="640"/>
      <c r="E19" s="446" t="str">
        <f t="shared" si="3"/>
        <v/>
      </c>
      <c r="F19" s="161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294"/>
      <c r="V19" s="295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3"/>
      <c r="BX19" s="180">
        <f t="shared" si="4"/>
        <v>0</v>
      </c>
      <c r="BY19" s="181">
        <f t="shared" si="5"/>
        <v>0</v>
      </c>
      <c r="BZ19" s="179">
        <f t="shared" si="0"/>
        <v>0</v>
      </c>
      <c r="CA19" s="186">
        <f t="shared" si="1"/>
        <v>0</v>
      </c>
      <c r="CB19" s="186">
        <f t="shared" si="6"/>
        <v>0</v>
      </c>
      <c r="CC19" s="456" t="str">
        <f>FILIACIÓN!Y16</f>
        <v/>
      </c>
      <c r="CD19" s="443" t="str">
        <f t="shared" si="2"/>
        <v/>
      </c>
      <c r="CE19" s="78"/>
      <c r="CF19" s="436"/>
      <c r="CG19" s="437"/>
      <c r="CH19" s="437"/>
      <c r="CI19" s="437"/>
      <c r="CJ19" s="437"/>
      <c r="CK19" s="43"/>
      <c r="CL19" s="43"/>
      <c r="CM19" s="43" t="str">
        <f>IF(FILIACIÓN!Z16="MOSTRAR","1","")</f>
        <v/>
      </c>
      <c r="CN19" s="43">
        <v>6</v>
      </c>
      <c r="CO19" s="43"/>
      <c r="CP19" s="43"/>
      <c r="CQ19" s="43"/>
      <c r="CR19" s="43"/>
      <c r="CS19" s="43"/>
      <c r="CU19" s="43"/>
      <c r="CV19" s="43"/>
      <c r="CW19" s="43"/>
      <c r="CX19" s="43"/>
      <c r="CY19" s="43"/>
      <c r="DA19" s="43"/>
      <c r="DB19" s="43"/>
      <c r="DC19" s="43"/>
      <c r="DD19" s="43"/>
      <c r="DE19" s="43"/>
      <c r="DG19" s="43"/>
      <c r="DH19" s="43"/>
      <c r="DI19" s="43"/>
      <c r="DJ19" s="43"/>
      <c r="DK19" s="43"/>
      <c r="DP19" s="43"/>
      <c r="DQ19" s="43"/>
      <c r="DR19" s="43"/>
      <c r="DS19" s="43"/>
      <c r="DT19" s="43"/>
      <c r="DV19" s="43"/>
      <c r="DW19" s="43"/>
      <c r="DX19" s="43"/>
      <c r="DY19" s="43"/>
      <c r="DZ19" s="43"/>
      <c r="EB19" s="43"/>
      <c r="EC19" s="43"/>
      <c r="ED19" s="43"/>
      <c r="EE19" s="43"/>
      <c r="EF19" s="43"/>
      <c r="EH19" s="43"/>
      <c r="EI19" s="43"/>
      <c r="EJ19" s="43"/>
      <c r="EK19" s="43"/>
      <c r="EL19" s="43"/>
      <c r="EN19" s="43"/>
      <c r="EO19" s="43"/>
      <c r="EP19" s="43"/>
      <c r="EQ19" s="43"/>
      <c r="ER19" s="43"/>
      <c r="ET19" s="43"/>
      <c r="EU19" s="43"/>
      <c r="EV19" s="43"/>
      <c r="EW19" s="43"/>
      <c r="EX19" s="43"/>
      <c r="EZ19" s="43"/>
      <c r="FC19" s="43"/>
      <c r="FD19" s="43"/>
      <c r="FE19" s="43"/>
      <c r="FF19" s="43"/>
      <c r="FG19" s="43"/>
      <c r="FI19" s="43"/>
      <c r="FJ19" s="43"/>
      <c r="FK19" s="43"/>
      <c r="FL19" s="43"/>
      <c r="FM19" s="43"/>
      <c r="FO19" s="43"/>
      <c r="FP19" s="43"/>
      <c r="FQ19" s="43"/>
      <c r="FR19" s="43"/>
      <c r="FS19" s="43"/>
      <c r="FU19" s="43"/>
      <c r="FV19" s="43"/>
      <c r="FW19" s="43"/>
      <c r="FX19" s="43"/>
      <c r="FY19" s="43"/>
      <c r="GA19" s="43"/>
      <c r="GB19" s="43"/>
      <c r="GC19" s="43"/>
      <c r="GD19" s="43"/>
      <c r="GE19" s="43"/>
      <c r="GG19" s="43"/>
      <c r="GH19" s="43"/>
      <c r="GI19" s="43"/>
      <c r="GJ19" s="43"/>
      <c r="GK19" s="43"/>
      <c r="GM19" s="77"/>
      <c r="GO19" s="43"/>
      <c r="GP19" s="43"/>
      <c r="GQ19" s="43"/>
      <c r="GR19" s="43"/>
      <c r="GS19" s="43"/>
      <c r="GT19" s="25"/>
      <c r="GU19" s="43"/>
      <c r="GV19" s="43"/>
      <c r="GW19" s="43"/>
      <c r="GX19" s="43"/>
      <c r="GY19" s="43"/>
      <c r="GZ19" s="25"/>
      <c r="HA19" s="43"/>
      <c r="HB19" s="43"/>
      <c r="HC19" s="43"/>
      <c r="HD19" s="43"/>
      <c r="HE19" s="43"/>
      <c r="HF19" s="25"/>
      <c r="HG19" s="43"/>
      <c r="HH19" s="43"/>
      <c r="HI19" s="43"/>
      <c r="HJ19" s="43"/>
      <c r="HK19" s="43"/>
      <c r="HL19" s="25"/>
      <c r="HM19" s="43"/>
      <c r="HN19" s="43"/>
      <c r="HO19" s="43"/>
      <c r="HP19" s="43"/>
      <c r="HQ19" s="43"/>
      <c r="HR19" s="25"/>
      <c r="HS19" s="43"/>
      <c r="HT19" s="43"/>
      <c r="HU19" s="43"/>
      <c r="HV19" s="43"/>
      <c r="HW19" s="43"/>
      <c r="HX19" s="25"/>
      <c r="HY19" s="77"/>
    </row>
    <row r="20" spans="1:233" ht="21.75" customHeight="1">
      <c r="A20" s="189">
        <f>--SUBTOTAL(2,CN$13:CN20)</f>
        <v>7</v>
      </c>
      <c r="B20" s="638" t="str">
        <f>IF(FILIACIÓN!B17="","",UPPER(FILIACIÓN!B17))</f>
        <v/>
      </c>
      <c r="C20" s="639"/>
      <c r="D20" s="640"/>
      <c r="E20" s="446" t="str">
        <f t="shared" si="3"/>
        <v/>
      </c>
      <c r="F20" s="161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294"/>
      <c r="V20" s="295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3"/>
      <c r="BX20" s="180">
        <f t="shared" si="4"/>
        <v>0</v>
      </c>
      <c r="BY20" s="181">
        <f t="shared" si="5"/>
        <v>0</v>
      </c>
      <c r="BZ20" s="179">
        <f t="shared" si="0"/>
        <v>0</v>
      </c>
      <c r="CA20" s="186">
        <f t="shared" si="1"/>
        <v>0</v>
      </c>
      <c r="CB20" s="186">
        <f t="shared" si="6"/>
        <v>0</v>
      </c>
      <c r="CC20" s="456" t="str">
        <f>FILIACIÓN!Y17</f>
        <v/>
      </c>
      <c r="CD20" s="443" t="str">
        <f t="shared" si="2"/>
        <v/>
      </c>
      <c r="CE20" s="78"/>
      <c r="CF20" s="436"/>
      <c r="CG20" s="437"/>
      <c r="CH20" s="437"/>
      <c r="CI20" s="437"/>
      <c r="CJ20" s="437"/>
      <c r="CK20" s="43"/>
      <c r="CL20" s="43"/>
      <c r="CM20" s="43" t="str">
        <f>IF(FILIACIÓN!Z17="MOSTRAR","1","")</f>
        <v/>
      </c>
      <c r="CN20" s="43">
        <v>7</v>
      </c>
      <c r="CO20" s="43"/>
      <c r="CP20" s="43"/>
      <c r="CQ20" s="43"/>
      <c r="CR20" s="43"/>
      <c r="CS20" s="43"/>
      <c r="CU20" s="43"/>
      <c r="CV20" s="43"/>
      <c r="CW20" s="43"/>
      <c r="CX20" s="43"/>
      <c r="CY20" s="43"/>
      <c r="DA20" s="43"/>
      <c r="DB20" s="43"/>
      <c r="DC20" s="43"/>
      <c r="DD20" s="43"/>
      <c r="DE20" s="43"/>
      <c r="DG20" s="43"/>
      <c r="DH20" s="43"/>
      <c r="DI20" s="43"/>
      <c r="DJ20" s="43"/>
      <c r="DK20" s="43"/>
      <c r="DP20" s="43"/>
      <c r="DQ20" s="43"/>
      <c r="DR20" s="43"/>
      <c r="DS20" s="43"/>
      <c r="DT20" s="43"/>
      <c r="DV20" s="43"/>
      <c r="DW20" s="43"/>
      <c r="DX20" s="43"/>
      <c r="DY20" s="43"/>
      <c r="DZ20" s="43"/>
      <c r="EB20" s="43"/>
      <c r="EC20" s="43"/>
      <c r="ED20" s="43"/>
      <c r="EE20" s="43"/>
      <c r="EF20" s="43"/>
      <c r="EH20" s="43"/>
      <c r="EI20" s="43"/>
      <c r="EJ20" s="43"/>
      <c r="EK20" s="43"/>
      <c r="EL20" s="43"/>
      <c r="EN20" s="43"/>
      <c r="EO20" s="43"/>
      <c r="EP20" s="43"/>
      <c r="EQ20" s="43"/>
      <c r="ER20" s="43"/>
      <c r="ET20" s="43"/>
      <c r="EU20" s="43"/>
      <c r="EV20" s="43"/>
      <c r="EW20" s="43"/>
      <c r="EX20" s="43"/>
      <c r="EZ20" s="43"/>
      <c r="FC20" s="43"/>
      <c r="FD20" s="43"/>
      <c r="FE20" s="43"/>
      <c r="FF20" s="43"/>
      <c r="FG20" s="43"/>
      <c r="FI20" s="43"/>
      <c r="FJ20" s="43"/>
      <c r="FK20" s="43"/>
      <c r="FL20" s="43"/>
      <c r="FM20" s="43"/>
      <c r="FO20" s="43"/>
      <c r="FP20" s="43"/>
      <c r="FQ20" s="43"/>
      <c r="FR20" s="43"/>
      <c r="FS20" s="43"/>
      <c r="FU20" s="43"/>
      <c r="FV20" s="43"/>
      <c r="FW20" s="43"/>
      <c r="FX20" s="43"/>
      <c r="FY20" s="43"/>
      <c r="GA20" s="43"/>
      <c r="GB20" s="43"/>
      <c r="GC20" s="43"/>
      <c r="GD20" s="43"/>
      <c r="GE20" s="43"/>
      <c r="GG20" s="43"/>
      <c r="GH20" s="43"/>
      <c r="GI20" s="43"/>
      <c r="GJ20" s="43"/>
      <c r="GK20" s="43"/>
      <c r="GM20" s="77"/>
      <c r="GO20" s="43"/>
      <c r="GP20" s="43"/>
      <c r="GQ20" s="43"/>
      <c r="GR20" s="43"/>
      <c r="GS20" s="43"/>
      <c r="GT20" s="25"/>
      <c r="GU20" s="43"/>
      <c r="GV20" s="43"/>
      <c r="GW20" s="43"/>
      <c r="GX20" s="43"/>
      <c r="GY20" s="43"/>
      <c r="GZ20" s="25"/>
      <c r="HA20" s="43"/>
      <c r="HB20" s="43"/>
      <c r="HC20" s="43"/>
      <c r="HD20" s="43"/>
      <c r="HE20" s="43"/>
      <c r="HF20" s="25"/>
      <c r="HG20" s="43"/>
      <c r="HH20" s="43"/>
      <c r="HI20" s="43"/>
      <c r="HJ20" s="43"/>
      <c r="HK20" s="43"/>
      <c r="HL20" s="25"/>
      <c r="HM20" s="43"/>
      <c r="HN20" s="43"/>
      <c r="HO20" s="43"/>
      <c r="HP20" s="43"/>
      <c r="HQ20" s="43"/>
      <c r="HR20" s="25"/>
      <c r="HS20" s="43"/>
      <c r="HT20" s="43"/>
      <c r="HU20" s="43"/>
      <c r="HV20" s="43"/>
      <c r="HW20" s="43"/>
      <c r="HX20" s="25"/>
      <c r="HY20" s="77"/>
    </row>
    <row r="21" spans="1:233" ht="21.75" customHeight="1">
      <c r="A21" s="189">
        <f>--SUBTOTAL(2,CN$13:CN21)</f>
        <v>8</v>
      </c>
      <c r="B21" s="638" t="str">
        <f>IF(FILIACIÓN!B18="","",UPPER(FILIACIÓN!B18))</f>
        <v/>
      </c>
      <c r="C21" s="639"/>
      <c r="D21" s="640"/>
      <c r="E21" s="446" t="str">
        <f t="shared" si="3"/>
        <v/>
      </c>
      <c r="F21" s="161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294"/>
      <c r="V21" s="295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3"/>
      <c r="BX21" s="180">
        <f t="shared" si="4"/>
        <v>0</v>
      </c>
      <c r="BY21" s="181">
        <f t="shared" si="5"/>
        <v>0</v>
      </c>
      <c r="BZ21" s="179">
        <f t="shared" si="0"/>
        <v>0</v>
      </c>
      <c r="CA21" s="186">
        <f t="shared" si="1"/>
        <v>0</v>
      </c>
      <c r="CB21" s="186">
        <f t="shared" si="6"/>
        <v>0</v>
      </c>
      <c r="CC21" s="456" t="str">
        <f>FILIACIÓN!Y18</f>
        <v/>
      </c>
      <c r="CD21" s="443" t="str">
        <f t="shared" si="2"/>
        <v/>
      </c>
      <c r="CE21" s="78"/>
      <c r="CF21" s="436"/>
      <c r="CG21" s="437"/>
      <c r="CH21" s="437"/>
      <c r="CI21" s="437"/>
      <c r="CJ21" s="437"/>
      <c r="CK21" s="43"/>
      <c r="CL21" s="43"/>
      <c r="CM21" s="43" t="str">
        <f>IF(FILIACIÓN!Z18="MOSTRAR","1","")</f>
        <v/>
      </c>
      <c r="CN21" s="43">
        <v>8</v>
      </c>
      <c r="CO21" s="43"/>
      <c r="CP21" s="43"/>
      <c r="CQ21" s="43"/>
      <c r="CR21" s="43"/>
      <c r="CS21" s="43"/>
      <c r="CU21" s="43"/>
      <c r="CV21" s="43"/>
      <c r="CW21" s="43"/>
      <c r="CX21" s="43"/>
      <c r="CY21" s="43"/>
      <c r="DA21" s="43"/>
      <c r="DB21" s="43"/>
      <c r="DC21" s="43"/>
      <c r="DD21" s="43"/>
      <c r="DE21" s="43"/>
      <c r="DG21" s="43"/>
      <c r="DH21" s="43"/>
      <c r="DI21" s="43"/>
      <c r="DJ21" s="43"/>
      <c r="DK21" s="43"/>
      <c r="DP21" s="43"/>
      <c r="DQ21" s="43"/>
      <c r="DR21" s="43"/>
      <c r="DS21" s="43"/>
      <c r="DT21" s="43"/>
      <c r="DV21" s="43"/>
      <c r="DW21" s="43"/>
      <c r="DX21" s="43"/>
      <c r="DY21" s="43"/>
      <c r="DZ21" s="43"/>
      <c r="EB21" s="43"/>
      <c r="EC21" s="43"/>
      <c r="ED21" s="43"/>
      <c r="EE21" s="43"/>
      <c r="EF21" s="43"/>
      <c r="EH21" s="43"/>
      <c r="EI21" s="43"/>
      <c r="EJ21" s="43"/>
      <c r="EK21" s="43"/>
      <c r="EL21" s="43"/>
      <c r="EN21" s="43"/>
      <c r="EO21" s="43"/>
      <c r="EP21" s="43"/>
      <c r="EQ21" s="43"/>
      <c r="ER21" s="43"/>
      <c r="ET21" s="43"/>
      <c r="EU21" s="43"/>
      <c r="EV21" s="43"/>
      <c r="EW21" s="43"/>
      <c r="EX21" s="43"/>
      <c r="EZ21" s="43"/>
      <c r="FC21" s="43"/>
      <c r="FD21" s="43"/>
      <c r="FE21" s="43"/>
      <c r="FF21" s="43"/>
      <c r="FG21" s="43"/>
      <c r="FI21" s="43"/>
      <c r="FJ21" s="43"/>
      <c r="FK21" s="43"/>
      <c r="FL21" s="43"/>
      <c r="FM21" s="43"/>
      <c r="FO21" s="43"/>
      <c r="FP21" s="43"/>
      <c r="FQ21" s="43"/>
      <c r="FR21" s="43"/>
      <c r="FS21" s="43"/>
      <c r="FU21" s="43"/>
      <c r="FV21" s="43"/>
      <c r="FW21" s="43"/>
      <c r="FX21" s="43"/>
      <c r="FY21" s="43"/>
      <c r="GA21" s="43"/>
      <c r="GB21" s="43"/>
      <c r="GC21" s="43"/>
      <c r="GD21" s="43"/>
      <c r="GE21" s="43"/>
      <c r="GG21" s="43"/>
      <c r="GH21" s="43"/>
      <c r="GI21" s="43"/>
      <c r="GJ21" s="43"/>
      <c r="GK21" s="43"/>
      <c r="GM21" s="77"/>
      <c r="GO21" s="43"/>
      <c r="GP21" s="43"/>
      <c r="GQ21" s="43"/>
      <c r="GR21" s="43"/>
      <c r="GS21" s="43"/>
      <c r="GT21" s="25"/>
      <c r="GU21" s="43"/>
      <c r="GV21" s="43"/>
      <c r="GW21" s="43"/>
      <c r="GX21" s="43"/>
      <c r="GY21" s="43"/>
      <c r="GZ21" s="25"/>
      <c r="HA21" s="43"/>
      <c r="HB21" s="43"/>
      <c r="HC21" s="43"/>
      <c r="HD21" s="43"/>
      <c r="HE21" s="43"/>
      <c r="HF21" s="25"/>
      <c r="HG21" s="43"/>
      <c r="HH21" s="43"/>
      <c r="HI21" s="43"/>
      <c r="HJ21" s="43"/>
      <c r="HK21" s="43"/>
      <c r="HL21" s="25"/>
      <c r="HM21" s="43"/>
      <c r="HN21" s="43"/>
      <c r="HO21" s="43"/>
      <c r="HP21" s="43"/>
      <c r="HQ21" s="43"/>
      <c r="HR21" s="25"/>
      <c r="HS21" s="43"/>
      <c r="HT21" s="43"/>
      <c r="HU21" s="43"/>
      <c r="HV21" s="43"/>
      <c r="HW21" s="43"/>
      <c r="HX21" s="25"/>
      <c r="HY21" s="77"/>
    </row>
    <row r="22" spans="1:233" ht="21.75" customHeight="1">
      <c r="A22" s="189">
        <f>--SUBTOTAL(2,CN$13:CN22)</f>
        <v>9</v>
      </c>
      <c r="B22" s="638" t="str">
        <f>IF(FILIACIÓN!B19="","",UPPER(FILIACIÓN!B19))</f>
        <v/>
      </c>
      <c r="C22" s="639"/>
      <c r="D22" s="640"/>
      <c r="E22" s="446" t="str">
        <f t="shared" si="3"/>
        <v/>
      </c>
      <c r="F22" s="161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294"/>
      <c r="V22" s="295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3"/>
      <c r="BX22" s="180">
        <f t="shared" si="4"/>
        <v>0</v>
      </c>
      <c r="BY22" s="181">
        <f t="shared" si="5"/>
        <v>0</v>
      </c>
      <c r="BZ22" s="179">
        <f t="shared" si="0"/>
        <v>0</v>
      </c>
      <c r="CA22" s="186">
        <f t="shared" si="1"/>
        <v>0</v>
      </c>
      <c r="CB22" s="186">
        <f t="shared" si="6"/>
        <v>0</v>
      </c>
      <c r="CC22" s="456" t="str">
        <f>FILIACIÓN!Y19</f>
        <v/>
      </c>
      <c r="CD22" s="443" t="str">
        <f t="shared" si="2"/>
        <v/>
      </c>
      <c r="CE22" s="78"/>
      <c r="CF22" s="436"/>
      <c r="CG22" s="437"/>
      <c r="CH22" s="437"/>
      <c r="CI22" s="437"/>
      <c r="CJ22" s="437"/>
      <c r="CK22" s="43"/>
      <c r="CL22" s="43"/>
      <c r="CM22" s="43" t="str">
        <f>IF(FILIACIÓN!Z19="MOSTRAR","1","")</f>
        <v/>
      </c>
      <c r="CN22" s="43">
        <v>9</v>
      </c>
      <c r="CO22" s="43"/>
      <c r="CP22" s="43"/>
      <c r="CQ22" s="43"/>
      <c r="CR22" s="43"/>
      <c r="CS22" s="43"/>
      <c r="CU22" s="43"/>
      <c r="CV22" s="43"/>
      <c r="CW22" s="43"/>
      <c r="CX22" s="43"/>
      <c r="CY22" s="43"/>
      <c r="DA22" s="43"/>
      <c r="DB22" s="43"/>
      <c r="DC22" s="43"/>
      <c r="DD22" s="43"/>
      <c r="DE22" s="43"/>
      <c r="DG22" s="43"/>
      <c r="DH22" s="43"/>
      <c r="DI22" s="43"/>
      <c r="DJ22" s="43"/>
      <c r="DK22" s="43"/>
      <c r="DP22" s="43"/>
      <c r="DQ22" s="43"/>
      <c r="DR22" s="43"/>
      <c r="DS22" s="43"/>
      <c r="DT22" s="43"/>
      <c r="DV22" s="43"/>
      <c r="DW22" s="43"/>
      <c r="DX22" s="43"/>
      <c r="DY22" s="43"/>
      <c r="DZ22" s="43"/>
      <c r="EB22" s="43"/>
      <c r="EC22" s="43"/>
      <c r="ED22" s="43"/>
      <c r="EE22" s="43"/>
      <c r="EF22" s="43"/>
      <c r="EH22" s="43"/>
      <c r="EI22" s="43"/>
      <c r="EJ22" s="43"/>
      <c r="EK22" s="43"/>
      <c r="EL22" s="43"/>
      <c r="EN22" s="43"/>
      <c r="EO22" s="43"/>
      <c r="EP22" s="43"/>
      <c r="EQ22" s="43"/>
      <c r="ER22" s="43"/>
      <c r="ET22" s="43"/>
      <c r="EU22" s="43"/>
      <c r="EV22" s="43"/>
      <c r="EW22" s="43"/>
      <c r="EX22" s="43"/>
      <c r="EZ22" s="43"/>
      <c r="FC22" s="43"/>
      <c r="FD22" s="43"/>
      <c r="FE22" s="43"/>
      <c r="FF22" s="43"/>
      <c r="FG22" s="43"/>
      <c r="FI22" s="43"/>
      <c r="FJ22" s="43"/>
      <c r="FK22" s="43"/>
      <c r="FL22" s="43"/>
      <c r="FM22" s="43"/>
      <c r="FO22" s="43"/>
      <c r="FP22" s="43"/>
      <c r="FQ22" s="43"/>
      <c r="FR22" s="43"/>
      <c r="FS22" s="43"/>
      <c r="FU22" s="43"/>
      <c r="FV22" s="43"/>
      <c r="FW22" s="43"/>
      <c r="FX22" s="43"/>
      <c r="FY22" s="43"/>
      <c r="GA22" s="43"/>
      <c r="GB22" s="43"/>
      <c r="GC22" s="43"/>
      <c r="GD22" s="43"/>
      <c r="GE22" s="43"/>
      <c r="GG22" s="43"/>
      <c r="GH22" s="43"/>
      <c r="GI22" s="43"/>
      <c r="GJ22" s="43"/>
      <c r="GK22" s="43"/>
      <c r="GM22" s="77"/>
      <c r="GO22" s="43"/>
      <c r="GP22" s="43"/>
      <c r="GQ22" s="43"/>
      <c r="GR22" s="43"/>
      <c r="GS22" s="43"/>
      <c r="GT22" s="25"/>
      <c r="GU22" s="43"/>
      <c r="GV22" s="43"/>
      <c r="GW22" s="43"/>
      <c r="GX22" s="43"/>
      <c r="GY22" s="43"/>
      <c r="GZ22" s="25"/>
      <c r="HA22" s="43"/>
      <c r="HB22" s="43"/>
      <c r="HC22" s="43"/>
      <c r="HD22" s="43"/>
      <c r="HE22" s="43"/>
      <c r="HF22" s="25"/>
      <c r="HG22" s="43"/>
      <c r="HH22" s="43"/>
      <c r="HI22" s="43"/>
      <c r="HJ22" s="43"/>
      <c r="HK22" s="43"/>
      <c r="HL22" s="25"/>
      <c r="HM22" s="43"/>
      <c r="HN22" s="43"/>
      <c r="HO22" s="43"/>
      <c r="HP22" s="43"/>
      <c r="HQ22" s="43"/>
      <c r="HR22" s="25"/>
      <c r="HS22" s="43"/>
      <c r="HT22" s="43"/>
      <c r="HU22" s="43"/>
      <c r="HV22" s="43"/>
      <c r="HW22" s="43"/>
      <c r="HX22" s="25"/>
      <c r="HY22" s="77"/>
    </row>
    <row r="23" spans="1:233" ht="21.75" customHeight="1">
      <c r="A23" s="189">
        <f>--SUBTOTAL(2,CN$13:CN23)</f>
        <v>10</v>
      </c>
      <c r="B23" s="638" t="str">
        <f>IF(FILIACIÓN!B20="","",UPPER(FILIACIÓN!B20))</f>
        <v/>
      </c>
      <c r="C23" s="639"/>
      <c r="D23" s="640"/>
      <c r="E23" s="446" t="str">
        <f t="shared" si="3"/>
        <v/>
      </c>
      <c r="F23" s="161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294"/>
      <c r="V23" s="295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3"/>
      <c r="BX23" s="180">
        <f t="shared" si="4"/>
        <v>0</v>
      </c>
      <c r="BY23" s="181">
        <f t="shared" si="5"/>
        <v>0</v>
      </c>
      <c r="BZ23" s="179">
        <f t="shared" si="0"/>
        <v>0</v>
      </c>
      <c r="CA23" s="186">
        <f t="shared" si="1"/>
        <v>0</v>
      </c>
      <c r="CB23" s="186">
        <f t="shared" si="6"/>
        <v>0</v>
      </c>
      <c r="CC23" s="456" t="str">
        <f>FILIACIÓN!Y20</f>
        <v/>
      </c>
      <c r="CD23" s="443" t="str">
        <f t="shared" si="2"/>
        <v/>
      </c>
      <c r="CE23" s="78"/>
      <c r="CF23" s="436"/>
      <c r="CG23" s="437"/>
      <c r="CH23" s="437"/>
      <c r="CI23" s="437"/>
      <c r="CJ23" s="437"/>
      <c r="CK23" s="43"/>
      <c r="CL23" s="43"/>
      <c r="CM23" s="43" t="str">
        <f>IF(FILIACIÓN!Z20="MOSTRAR","1","")</f>
        <v/>
      </c>
      <c r="CN23" s="43">
        <v>10</v>
      </c>
      <c r="CO23" s="43"/>
      <c r="CP23" s="43"/>
      <c r="CQ23" s="43"/>
      <c r="CR23" s="43"/>
      <c r="CS23" s="43"/>
      <c r="CU23" s="43"/>
      <c r="CV23" s="43"/>
      <c r="CW23" s="43"/>
      <c r="CX23" s="43"/>
      <c r="CY23" s="43"/>
      <c r="DA23" s="43"/>
      <c r="DB23" s="43"/>
      <c r="DC23" s="43"/>
      <c r="DD23" s="43"/>
      <c r="DE23" s="43"/>
      <c r="DG23" s="43"/>
      <c r="DH23" s="43"/>
      <c r="DI23" s="43"/>
      <c r="DJ23" s="43"/>
      <c r="DK23" s="43"/>
      <c r="DP23" s="43"/>
      <c r="DQ23" s="43"/>
      <c r="DR23" s="43"/>
      <c r="DS23" s="43"/>
      <c r="DT23" s="43"/>
      <c r="DV23" s="43"/>
      <c r="DW23" s="43"/>
      <c r="DX23" s="43"/>
      <c r="DY23" s="43"/>
      <c r="DZ23" s="43"/>
      <c r="EB23" s="43"/>
      <c r="EC23" s="43"/>
      <c r="ED23" s="43"/>
      <c r="EE23" s="43"/>
      <c r="EF23" s="43"/>
      <c r="EH23" s="43"/>
      <c r="EI23" s="43"/>
      <c r="EJ23" s="43"/>
      <c r="EK23" s="43"/>
      <c r="EL23" s="43"/>
      <c r="EN23" s="43"/>
      <c r="EO23" s="43"/>
      <c r="EP23" s="43"/>
      <c r="EQ23" s="43"/>
      <c r="ER23" s="43"/>
      <c r="ET23" s="43"/>
      <c r="EU23" s="43"/>
      <c r="EV23" s="43"/>
      <c r="EW23" s="43"/>
      <c r="EX23" s="43"/>
      <c r="EZ23" s="43"/>
      <c r="FC23" s="43"/>
      <c r="FD23" s="43"/>
      <c r="FE23" s="43"/>
      <c r="FF23" s="43"/>
      <c r="FG23" s="43"/>
      <c r="FI23" s="43"/>
      <c r="FJ23" s="43"/>
      <c r="FK23" s="43"/>
      <c r="FL23" s="43"/>
      <c r="FM23" s="43"/>
      <c r="FO23" s="43"/>
      <c r="FP23" s="43"/>
      <c r="FQ23" s="43"/>
      <c r="FR23" s="43"/>
      <c r="FS23" s="43"/>
      <c r="FU23" s="43"/>
      <c r="FV23" s="43"/>
      <c r="FW23" s="43"/>
      <c r="FX23" s="43"/>
      <c r="FY23" s="43"/>
      <c r="GA23" s="43"/>
      <c r="GB23" s="43"/>
      <c r="GC23" s="43"/>
      <c r="GD23" s="43"/>
      <c r="GE23" s="43"/>
      <c r="GG23" s="43"/>
      <c r="GH23" s="43"/>
      <c r="GI23" s="43"/>
      <c r="GJ23" s="43"/>
      <c r="GK23" s="43"/>
      <c r="GM23" s="77"/>
      <c r="GO23" s="43"/>
      <c r="GP23" s="43"/>
      <c r="GQ23" s="43"/>
      <c r="GR23" s="43"/>
      <c r="GS23" s="43"/>
      <c r="GT23" s="25"/>
      <c r="GU23" s="43"/>
      <c r="GV23" s="43"/>
      <c r="GW23" s="43"/>
      <c r="GX23" s="43"/>
      <c r="GY23" s="43"/>
      <c r="GZ23" s="25"/>
      <c r="HA23" s="43"/>
      <c r="HB23" s="43"/>
      <c r="HC23" s="43"/>
      <c r="HD23" s="43"/>
      <c r="HE23" s="43"/>
      <c r="HF23" s="25"/>
      <c r="HG23" s="43"/>
      <c r="HH23" s="43"/>
      <c r="HI23" s="43"/>
      <c r="HJ23" s="43"/>
      <c r="HK23" s="43"/>
      <c r="HL23" s="25"/>
      <c r="HM23" s="43"/>
      <c r="HN23" s="43"/>
      <c r="HO23" s="43"/>
      <c r="HP23" s="43"/>
      <c r="HQ23" s="43"/>
      <c r="HR23" s="25"/>
      <c r="HS23" s="43"/>
      <c r="HT23" s="43"/>
      <c r="HU23" s="43"/>
      <c r="HV23" s="43"/>
      <c r="HW23" s="43"/>
      <c r="HX23" s="25"/>
      <c r="HY23" s="77"/>
    </row>
    <row r="24" spans="1:233" ht="21.75" customHeight="1">
      <c r="A24" s="189">
        <f>--SUBTOTAL(2,CN$13:CN24)</f>
        <v>11</v>
      </c>
      <c r="B24" s="638" t="str">
        <f>IF(FILIACIÓN!B21="","",UPPER(FILIACIÓN!B21))</f>
        <v/>
      </c>
      <c r="C24" s="639"/>
      <c r="D24" s="640"/>
      <c r="E24" s="446" t="str">
        <f t="shared" si="3"/>
        <v/>
      </c>
      <c r="F24" s="161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294"/>
      <c r="V24" s="295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3"/>
      <c r="BX24" s="180">
        <f t="shared" si="4"/>
        <v>0</v>
      </c>
      <c r="BY24" s="181">
        <f t="shared" si="5"/>
        <v>0</v>
      </c>
      <c r="BZ24" s="179">
        <f t="shared" si="0"/>
        <v>0</v>
      </c>
      <c r="CA24" s="186">
        <f t="shared" si="1"/>
        <v>0</v>
      </c>
      <c r="CB24" s="186">
        <f t="shared" si="6"/>
        <v>0</v>
      </c>
      <c r="CC24" s="456" t="str">
        <f>FILIACIÓN!Y21</f>
        <v/>
      </c>
      <c r="CD24" s="443" t="str">
        <f t="shared" si="2"/>
        <v/>
      </c>
      <c r="CE24" s="78"/>
      <c r="CF24" s="436"/>
      <c r="CG24" s="437"/>
      <c r="CH24" s="437"/>
      <c r="CI24" s="437"/>
      <c r="CJ24" s="437"/>
      <c r="CK24" s="43"/>
      <c r="CL24" s="43"/>
      <c r="CM24" s="43" t="str">
        <f>IF(FILIACIÓN!Z21="MOSTRAR","1","")</f>
        <v/>
      </c>
      <c r="CN24" s="43">
        <v>11</v>
      </c>
      <c r="CO24" s="43"/>
      <c r="CP24" s="43"/>
      <c r="CQ24" s="43"/>
      <c r="CR24" s="43"/>
      <c r="CS24" s="43"/>
      <c r="CU24" s="43"/>
      <c r="CV24" s="43"/>
      <c r="CW24" s="43"/>
      <c r="CX24" s="43"/>
      <c r="CY24" s="43"/>
      <c r="DA24" s="43"/>
      <c r="DB24" s="43"/>
      <c r="DC24" s="43"/>
      <c r="DD24" s="43"/>
      <c r="DE24" s="43"/>
      <c r="DG24" s="43"/>
      <c r="DH24" s="43"/>
      <c r="DI24" s="43"/>
      <c r="DJ24" s="43"/>
      <c r="DK24" s="43"/>
      <c r="DP24" s="43"/>
      <c r="DQ24" s="43"/>
      <c r="DR24" s="43"/>
      <c r="DS24" s="43"/>
      <c r="DT24" s="43"/>
      <c r="DV24" s="43"/>
      <c r="DW24" s="43"/>
      <c r="DX24" s="43"/>
      <c r="DY24" s="43"/>
      <c r="DZ24" s="43"/>
      <c r="EB24" s="43"/>
      <c r="EC24" s="43"/>
      <c r="ED24" s="43"/>
      <c r="EE24" s="43"/>
      <c r="EF24" s="43"/>
      <c r="EH24" s="43"/>
      <c r="EI24" s="43"/>
      <c r="EJ24" s="43"/>
      <c r="EK24" s="43"/>
      <c r="EL24" s="43"/>
      <c r="EN24" s="43"/>
      <c r="EO24" s="43"/>
      <c r="EP24" s="43"/>
      <c r="EQ24" s="43"/>
      <c r="ER24" s="43"/>
      <c r="ET24" s="43"/>
      <c r="EU24" s="43"/>
      <c r="EV24" s="43"/>
      <c r="EW24" s="43"/>
      <c r="EX24" s="43"/>
      <c r="EZ24" s="43"/>
      <c r="FC24" s="43"/>
      <c r="FD24" s="43"/>
      <c r="FE24" s="43"/>
      <c r="FF24" s="43"/>
      <c r="FG24" s="43"/>
      <c r="FI24" s="43"/>
      <c r="FJ24" s="43"/>
      <c r="FK24" s="43"/>
      <c r="FL24" s="43"/>
      <c r="FM24" s="43"/>
      <c r="FO24" s="43"/>
      <c r="FP24" s="43"/>
      <c r="FQ24" s="43"/>
      <c r="FR24" s="43"/>
      <c r="FS24" s="43"/>
      <c r="FU24" s="43"/>
      <c r="FV24" s="43"/>
      <c r="FW24" s="43"/>
      <c r="FX24" s="43"/>
      <c r="FY24" s="43"/>
      <c r="GA24" s="43"/>
      <c r="GB24" s="43"/>
      <c r="GC24" s="43"/>
      <c r="GD24" s="43"/>
      <c r="GE24" s="43"/>
      <c r="GG24" s="43"/>
      <c r="GH24" s="43"/>
      <c r="GI24" s="43"/>
      <c r="GJ24" s="43"/>
      <c r="GK24" s="43"/>
      <c r="GM24" s="77"/>
      <c r="GO24" s="43"/>
      <c r="GP24" s="43"/>
      <c r="GQ24" s="43"/>
      <c r="GR24" s="43"/>
      <c r="GS24" s="43"/>
      <c r="GT24" s="25"/>
      <c r="GU24" s="43"/>
      <c r="GV24" s="43"/>
      <c r="GW24" s="43"/>
      <c r="GX24" s="43"/>
      <c r="GY24" s="43"/>
      <c r="GZ24" s="25"/>
      <c r="HA24" s="43"/>
      <c r="HB24" s="43"/>
      <c r="HC24" s="43"/>
      <c r="HD24" s="43"/>
      <c r="HE24" s="43"/>
      <c r="HF24" s="25"/>
      <c r="HG24" s="43"/>
      <c r="HH24" s="43"/>
      <c r="HI24" s="43"/>
      <c r="HJ24" s="43"/>
      <c r="HK24" s="43"/>
      <c r="HL24" s="25"/>
      <c r="HM24" s="43"/>
      <c r="HN24" s="43"/>
      <c r="HO24" s="43"/>
      <c r="HP24" s="43"/>
      <c r="HQ24" s="43"/>
      <c r="HR24" s="25"/>
      <c r="HS24" s="43"/>
      <c r="HT24" s="43"/>
      <c r="HU24" s="43"/>
      <c r="HV24" s="43"/>
      <c r="HW24" s="43"/>
      <c r="HX24" s="25"/>
      <c r="HY24" s="77"/>
    </row>
    <row r="25" spans="1:233" ht="21.75" customHeight="1">
      <c r="A25" s="189">
        <f>--SUBTOTAL(2,CN$13:CN25)</f>
        <v>12</v>
      </c>
      <c r="B25" s="638" t="str">
        <f>IF(FILIACIÓN!B22="","",UPPER(FILIACIÓN!B22))</f>
        <v/>
      </c>
      <c r="C25" s="639"/>
      <c r="D25" s="640"/>
      <c r="E25" s="446" t="str">
        <f t="shared" si="3"/>
        <v/>
      </c>
      <c r="F25" s="161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294"/>
      <c r="V25" s="295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3"/>
      <c r="BX25" s="180">
        <f t="shared" si="4"/>
        <v>0</v>
      </c>
      <c r="BY25" s="181">
        <f t="shared" si="5"/>
        <v>0</v>
      </c>
      <c r="BZ25" s="179">
        <f t="shared" si="0"/>
        <v>0</v>
      </c>
      <c r="CA25" s="186">
        <f t="shared" si="1"/>
        <v>0</v>
      </c>
      <c r="CB25" s="186">
        <f t="shared" si="6"/>
        <v>0</v>
      </c>
      <c r="CC25" s="456" t="str">
        <f>FILIACIÓN!Y22</f>
        <v/>
      </c>
      <c r="CD25" s="443" t="str">
        <f t="shared" si="2"/>
        <v/>
      </c>
      <c r="CE25" s="78"/>
      <c r="CF25" s="436"/>
      <c r="CG25" s="437"/>
      <c r="CH25" s="437"/>
      <c r="CI25" s="437"/>
      <c r="CJ25" s="437"/>
      <c r="CK25" s="43"/>
      <c r="CL25" s="43"/>
      <c r="CM25" s="43" t="str">
        <f>IF(FILIACIÓN!Z22="MOSTRAR","1","")</f>
        <v/>
      </c>
      <c r="CN25" s="43">
        <v>12</v>
      </c>
      <c r="CO25" s="43"/>
      <c r="CP25" s="43"/>
      <c r="CQ25" s="43"/>
      <c r="CR25" s="43"/>
      <c r="CS25" s="43"/>
      <c r="CU25" s="43"/>
      <c r="CV25" s="43"/>
      <c r="CW25" s="43"/>
      <c r="CX25" s="43"/>
      <c r="CY25" s="43"/>
      <c r="DA25" s="43"/>
      <c r="DB25" s="43"/>
      <c r="DC25" s="43"/>
      <c r="DD25" s="43"/>
      <c r="DE25" s="43"/>
      <c r="DG25" s="43"/>
      <c r="DH25" s="43"/>
      <c r="DI25" s="43"/>
      <c r="DJ25" s="43"/>
      <c r="DK25" s="43"/>
      <c r="DP25" s="43"/>
      <c r="DQ25" s="43"/>
      <c r="DR25" s="43"/>
      <c r="DS25" s="43"/>
      <c r="DT25" s="43"/>
      <c r="DV25" s="43"/>
      <c r="DW25" s="43"/>
      <c r="DX25" s="43"/>
      <c r="DY25" s="43"/>
      <c r="DZ25" s="43"/>
      <c r="EB25" s="43"/>
      <c r="EC25" s="43"/>
      <c r="ED25" s="43"/>
      <c r="EE25" s="43"/>
      <c r="EF25" s="43"/>
      <c r="EH25" s="43"/>
      <c r="EI25" s="43"/>
      <c r="EJ25" s="43"/>
      <c r="EK25" s="43"/>
      <c r="EL25" s="43"/>
      <c r="EN25" s="43"/>
      <c r="EO25" s="43"/>
      <c r="EP25" s="43"/>
      <c r="EQ25" s="43"/>
      <c r="ER25" s="43"/>
      <c r="ET25" s="43"/>
      <c r="EU25" s="43"/>
      <c r="EV25" s="43"/>
      <c r="EW25" s="43"/>
      <c r="EX25" s="43"/>
      <c r="EZ25" s="43"/>
      <c r="FC25" s="43"/>
      <c r="FD25" s="43"/>
      <c r="FE25" s="43"/>
      <c r="FF25" s="43"/>
      <c r="FG25" s="43"/>
      <c r="FI25" s="43"/>
      <c r="FJ25" s="43"/>
      <c r="FK25" s="43"/>
      <c r="FL25" s="43"/>
      <c r="FM25" s="43"/>
      <c r="FO25" s="43"/>
      <c r="FP25" s="43"/>
      <c r="FQ25" s="43"/>
      <c r="FR25" s="43"/>
      <c r="FS25" s="43"/>
      <c r="FU25" s="43"/>
      <c r="FV25" s="43"/>
      <c r="FW25" s="43"/>
      <c r="FX25" s="43"/>
      <c r="FY25" s="43"/>
      <c r="GA25" s="43"/>
      <c r="GB25" s="43"/>
      <c r="GC25" s="43"/>
      <c r="GD25" s="43"/>
      <c r="GE25" s="43"/>
      <c r="GG25" s="43"/>
      <c r="GH25" s="43"/>
      <c r="GI25" s="43"/>
      <c r="GJ25" s="43"/>
      <c r="GK25" s="43"/>
      <c r="GM25" s="77"/>
      <c r="GO25" s="43"/>
      <c r="GP25" s="43"/>
      <c r="GQ25" s="43"/>
      <c r="GR25" s="43"/>
      <c r="GS25" s="43"/>
      <c r="GT25" s="25"/>
      <c r="GU25" s="43"/>
      <c r="GV25" s="43"/>
      <c r="GW25" s="43"/>
      <c r="GX25" s="43"/>
      <c r="GY25" s="43"/>
      <c r="GZ25" s="25"/>
      <c r="HA25" s="43"/>
      <c r="HB25" s="43"/>
      <c r="HC25" s="43"/>
      <c r="HD25" s="43"/>
      <c r="HE25" s="43"/>
      <c r="HF25" s="25"/>
      <c r="HG25" s="43"/>
      <c r="HH25" s="43"/>
      <c r="HI25" s="43"/>
      <c r="HJ25" s="43"/>
      <c r="HK25" s="43"/>
      <c r="HL25" s="25"/>
      <c r="HM25" s="43"/>
      <c r="HN25" s="43"/>
      <c r="HO25" s="43"/>
      <c r="HP25" s="43"/>
      <c r="HQ25" s="43"/>
      <c r="HR25" s="25"/>
      <c r="HS25" s="43"/>
      <c r="HT25" s="43"/>
      <c r="HU25" s="43"/>
      <c r="HV25" s="43"/>
      <c r="HW25" s="43"/>
      <c r="HX25" s="25"/>
      <c r="HY25" s="77"/>
    </row>
    <row r="26" spans="1:233" ht="21.75" customHeight="1">
      <c r="A26" s="189">
        <f>--SUBTOTAL(2,CN$13:CN26)</f>
        <v>13</v>
      </c>
      <c r="B26" s="638" t="str">
        <f>IF(FILIACIÓN!B23="","",UPPER(FILIACIÓN!B23))</f>
        <v/>
      </c>
      <c r="C26" s="639"/>
      <c r="D26" s="640"/>
      <c r="E26" s="446" t="str">
        <f t="shared" si="3"/>
        <v/>
      </c>
      <c r="F26" s="161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294"/>
      <c r="V26" s="295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3"/>
      <c r="BX26" s="180">
        <f t="shared" si="4"/>
        <v>0</v>
      </c>
      <c r="BY26" s="181">
        <f t="shared" si="5"/>
        <v>0</v>
      </c>
      <c r="BZ26" s="179">
        <f t="shared" si="0"/>
        <v>0</v>
      </c>
      <c r="CA26" s="186">
        <f t="shared" si="1"/>
        <v>0</v>
      </c>
      <c r="CB26" s="186">
        <f t="shared" si="6"/>
        <v>0</v>
      </c>
      <c r="CC26" s="456" t="str">
        <f>FILIACIÓN!Y23</f>
        <v/>
      </c>
      <c r="CD26" s="443" t="str">
        <f t="shared" si="2"/>
        <v/>
      </c>
      <c r="CE26" s="78"/>
      <c r="CF26" s="436"/>
      <c r="CG26" s="437"/>
      <c r="CH26" s="437"/>
      <c r="CI26" s="437"/>
      <c r="CJ26" s="437"/>
      <c r="CK26" s="43"/>
      <c r="CL26" s="43"/>
      <c r="CM26" s="43" t="str">
        <f>IF(FILIACIÓN!Z23="MOSTRAR","1","")</f>
        <v/>
      </c>
      <c r="CN26" s="43">
        <v>13</v>
      </c>
      <c r="CO26" s="43"/>
      <c r="CP26" s="43"/>
      <c r="CQ26" s="43"/>
      <c r="CR26" s="43"/>
      <c r="CS26" s="43"/>
      <c r="CU26" s="43"/>
      <c r="CV26" s="43"/>
      <c r="CW26" s="43"/>
      <c r="CX26" s="43"/>
      <c r="CY26" s="43"/>
      <c r="DA26" s="43"/>
      <c r="DB26" s="43"/>
      <c r="DC26" s="43"/>
      <c r="DD26" s="43"/>
      <c r="DE26" s="43"/>
      <c r="DG26" s="43"/>
      <c r="DH26" s="43"/>
      <c r="DI26" s="43"/>
      <c r="DJ26" s="43"/>
      <c r="DK26" s="43"/>
      <c r="DP26" s="43"/>
      <c r="DQ26" s="43"/>
      <c r="DR26" s="43"/>
      <c r="DS26" s="43"/>
      <c r="DT26" s="43"/>
      <c r="DV26" s="43"/>
      <c r="DW26" s="43"/>
      <c r="DX26" s="43"/>
      <c r="DY26" s="43"/>
      <c r="DZ26" s="43"/>
      <c r="EB26" s="43"/>
      <c r="EC26" s="43"/>
      <c r="ED26" s="43"/>
      <c r="EE26" s="43"/>
      <c r="EF26" s="43"/>
      <c r="EH26" s="43"/>
      <c r="EI26" s="43"/>
      <c r="EJ26" s="43"/>
      <c r="EK26" s="43"/>
      <c r="EL26" s="43"/>
      <c r="EN26" s="43"/>
      <c r="EO26" s="43"/>
      <c r="EP26" s="43"/>
      <c r="EQ26" s="43"/>
      <c r="ER26" s="43"/>
      <c r="ET26" s="43"/>
      <c r="EU26" s="43"/>
      <c r="EV26" s="43"/>
      <c r="EW26" s="43"/>
      <c r="EX26" s="43"/>
      <c r="EZ26" s="43"/>
      <c r="FC26" s="43"/>
      <c r="FD26" s="43"/>
      <c r="FE26" s="43"/>
      <c r="FF26" s="43"/>
      <c r="FG26" s="43"/>
      <c r="FI26" s="43"/>
      <c r="FJ26" s="43"/>
      <c r="FK26" s="43"/>
      <c r="FL26" s="43"/>
      <c r="FM26" s="43"/>
      <c r="FO26" s="43"/>
      <c r="FP26" s="43"/>
      <c r="FQ26" s="43"/>
      <c r="FR26" s="43"/>
      <c r="FS26" s="43"/>
      <c r="FU26" s="43"/>
      <c r="FV26" s="43"/>
      <c r="FW26" s="43"/>
      <c r="FX26" s="43"/>
      <c r="FY26" s="43"/>
      <c r="GA26" s="43"/>
      <c r="GB26" s="43"/>
      <c r="GC26" s="43"/>
      <c r="GD26" s="43"/>
      <c r="GE26" s="43"/>
      <c r="GG26" s="43"/>
      <c r="GH26" s="43"/>
      <c r="GI26" s="43"/>
      <c r="GJ26" s="43"/>
      <c r="GK26" s="43"/>
      <c r="GM26" s="77"/>
      <c r="GO26" s="43"/>
      <c r="GP26" s="43"/>
      <c r="GQ26" s="43"/>
      <c r="GR26" s="43"/>
      <c r="GS26" s="43"/>
      <c r="GT26" s="25"/>
      <c r="GU26" s="43"/>
      <c r="GV26" s="43"/>
      <c r="GW26" s="43"/>
      <c r="GX26" s="43"/>
      <c r="GY26" s="43"/>
      <c r="GZ26" s="25"/>
      <c r="HA26" s="43"/>
      <c r="HB26" s="43"/>
      <c r="HC26" s="43"/>
      <c r="HD26" s="43"/>
      <c r="HE26" s="43"/>
      <c r="HF26" s="25"/>
      <c r="HG26" s="43"/>
      <c r="HH26" s="43"/>
      <c r="HI26" s="43"/>
      <c r="HJ26" s="43"/>
      <c r="HK26" s="43"/>
      <c r="HL26" s="25"/>
      <c r="HM26" s="43"/>
      <c r="HN26" s="43"/>
      <c r="HO26" s="43"/>
      <c r="HP26" s="43"/>
      <c r="HQ26" s="43"/>
      <c r="HR26" s="25"/>
      <c r="HS26" s="43"/>
      <c r="HT26" s="43"/>
      <c r="HU26" s="43"/>
      <c r="HV26" s="43"/>
      <c r="HW26" s="43"/>
      <c r="HX26" s="25"/>
      <c r="HY26" s="77"/>
    </row>
    <row r="27" spans="1:233" ht="21.75" customHeight="1">
      <c r="A27" s="189">
        <f>--SUBTOTAL(2,CN$13:CN27)</f>
        <v>14</v>
      </c>
      <c r="B27" s="638" t="str">
        <f>IF(FILIACIÓN!B24="","",UPPER(FILIACIÓN!B24))</f>
        <v/>
      </c>
      <c r="C27" s="639"/>
      <c r="D27" s="640"/>
      <c r="E27" s="446" t="str">
        <f t="shared" si="3"/>
        <v/>
      </c>
      <c r="F27" s="161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294"/>
      <c r="V27" s="295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3"/>
      <c r="BX27" s="180">
        <f t="shared" si="4"/>
        <v>0</v>
      </c>
      <c r="BY27" s="181">
        <f t="shared" si="5"/>
        <v>0</v>
      </c>
      <c r="BZ27" s="179">
        <f t="shared" si="0"/>
        <v>0</v>
      </c>
      <c r="CA27" s="186">
        <f t="shared" si="1"/>
        <v>0</v>
      </c>
      <c r="CB27" s="186">
        <f t="shared" si="6"/>
        <v>0</v>
      </c>
      <c r="CC27" s="456" t="str">
        <f>FILIACIÓN!Y24</f>
        <v/>
      </c>
      <c r="CD27" s="443" t="str">
        <f t="shared" si="2"/>
        <v/>
      </c>
      <c r="CE27" s="78"/>
      <c r="CF27" s="436"/>
      <c r="CG27" s="437"/>
      <c r="CH27" s="437"/>
      <c r="CI27" s="437"/>
      <c r="CJ27" s="437"/>
      <c r="CK27" s="43"/>
      <c r="CL27" s="43"/>
      <c r="CM27" s="43" t="str">
        <f>IF(FILIACIÓN!Z24="MOSTRAR","1","")</f>
        <v/>
      </c>
      <c r="CN27" s="43">
        <v>14</v>
      </c>
      <c r="CO27" s="43"/>
      <c r="CP27" s="43"/>
      <c r="CQ27" s="43"/>
      <c r="CR27" s="43"/>
      <c r="CS27" s="43"/>
      <c r="CU27" s="43"/>
      <c r="CV27" s="43"/>
      <c r="CW27" s="43"/>
      <c r="CX27" s="43"/>
      <c r="CY27" s="43"/>
      <c r="DA27" s="43"/>
      <c r="DB27" s="43"/>
      <c r="DC27" s="43"/>
      <c r="DD27" s="43"/>
      <c r="DE27" s="43"/>
      <c r="DG27" s="43"/>
      <c r="DH27" s="43"/>
      <c r="DI27" s="43"/>
      <c r="DJ27" s="43"/>
      <c r="DK27" s="43"/>
      <c r="DP27" s="43"/>
      <c r="DQ27" s="43"/>
      <c r="DR27" s="43"/>
      <c r="DS27" s="43"/>
      <c r="DT27" s="43"/>
      <c r="DV27" s="43"/>
      <c r="DW27" s="43"/>
      <c r="DX27" s="43"/>
      <c r="DY27" s="43"/>
      <c r="DZ27" s="43"/>
      <c r="EB27" s="43"/>
      <c r="EC27" s="43"/>
      <c r="ED27" s="43"/>
      <c r="EE27" s="43"/>
      <c r="EF27" s="43"/>
      <c r="EH27" s="43"/>
      <c r="EI27" s="43"/>
      <c r="EJ27" s="43"/>
      <c r="EK27" s="43"/>
      <c r="EL27" s="43"/>
      <c r="EN27" s="43"/>
      <c r="EO27" s="43"/>
      <c r="EP27" s="43"/>
      <c r="EQ27" s="43"/>
      <c r="ER27" s="43"/>
      <c r="ET27" s="43"/>
      <c r="EU27" s="43"/>
      <c r="EV27" s="43"/>
      <c r="EW27" s="43"/>
      <c r="EX27" s="43"/>
      <c r="EZ27" s="43"/>
      <c r="FC27" s="43"/>
      <c r="FD27" s="43"/>
      <c r="FE27" s="43"/>
      <c r="FF27" s="43"/>
      <c r="FG27" s="43"/>
      <c r="FI27" s="43"/>
      <c r="FJ27" s="43"/>
      <c r="FK27" s="43"/>
      <c r="FL27" s="43"/>
      <c r="FM27" s="43"/>
      <c r="FO27" s="43"/>
      <c r="FP27" s="43"/>
      <c r="FQ27" s="43"/>
      <c r="FR27" s="43"/>
      <c r="FS27" s="43"/>
      <c r="FU27" s="43"/>
      <c r="FV27" s="43"/>
      <c r="FW27" s="43"/>
      <c r="FX27" s="43"/>
      <c r="FY27" s="43"/>
      <c r="GA27" s="43"/>
      <c r="GB27" s="43"/>
      <c r="GC27" s="43"/>
      <c r="GD27" s="43"/>
      <c r="GE27" s="43"/>
      <c r="GG27" s="43"/>
      <c r="GH27" s="43"/>
      <c r="GI27" s="43"/>
      <c r="GJ27" s="43"/>
      <c r="GK27" s="43"/>
      <c r="GM27" s="77"/>
      <c r="GO27" s="43"/>
      <c r="GP27" s="43"/>
      <c r="GQ27" s="43"/>
      <c r="GR27" s="43"/>
      <c r="GS27" s="43"/>
      <c r="GT27" s="25"/>
      <c r="GU27" s="43"/>
      <c r="GV27" s="43"/>
      <c r="GW27" s="43"/>
      <c r="GX27" s="43"/>
      <c r="GY27" s="43"/>
      <c r="GZ27" s="25"/>
      <c r="HA27" s="43"/>
      <c r="HB27" s="43"/>
      <c r="HC27" s="43"/>
      <c r="HD27" s="43"/>
      <c r="HE27" s="43"/>
      <c r="HF27" s="25"/>
      <c r="HG27" s="43"/>
      <c r="HH27" s="43"/>
      <c r="HI27" s="43"/>
      <c r="HJ27" s="43"/>
      <c r="HK27" s="43"/>
      <c r="HL27" s="25"/>
      <c r="HM27" s="43"/>
      <c r="HN27" s="43"/>
      <c r="HO27" s="43"/>
      <c r="HP27" s="43"/>
      <c r="HQ27" s="43"/>
      <c r="HR27" s="25"/>
      <c r="HS27" s="43"/>
      <c r="HT27" s="43"/>
      <c r="HU27" s="43"/>
      <c r="HV27" s="43"/>
      <c r="HW27" s="43"/>
      <c r="HX27" s="25"/>
      <c r="HY27" s="77"/>
    </row>
    <row r="28" spans="1:233" ht="21.75" customHeight="1">
      <c r="A28" s="189">
        <f>--SUBTOTAL(2,CN$13:CN28)</f>
        <v>15</v>
      </c>
      <c r="B28" s="638" t="str">
        <f>IF(FILIACIÓN!B25="","",UPPER(FILIACIÓN!B25))</f>
        <v/>
      </c>
      <c r="C28" s="639"/>
      <c r="D28" s="640"/>
      <c r="E28" s="446" t="str">
        <f t="shared" si="3"/>
        <v/>
      </c>
      <c r="F28" s="161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294"/>
      <c r="V28" s="295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3"/>
      <c r="BX28" s="180">
        <f t="shared" si="4"/>
        <v>0</v>
      </c>
      <c r="BY28" s="181">
        <f t="shared" si="5"/>
        <v>0</v>
      </c>
      <c r="BZ28" s="179">
        <f t="shared" si="0"/>
        <v>0</v>
      </c>
      <c r="CA28" s="186">
        <f t="shared" si="1"/>
        <v>0</v>
      </c>
      <c r="CB28" s="186">
        <f t="shared" si="6"/>
        <v>0</v>
      </c>
      <c r="CC28" s="456" t="str">
        <f>FILIACIÓN!Y25</f>
        <v/>
      </c>
      <c r="CD28" s="443" t="str">
        <f t="shared" si="2"/>
        <v/>
      </c>
      <c r="CE28" s="78"/>
      <c r="CF28" s="436"/>
      <c r="CG28" s="437"/>
      <c r="CH28" s="437"/>
      <c r="CI28" s="437"/>
      <c r="CJ28" s="437"/>
      <c r="CK28" s="43"/>
      <c r="CL28" s="43"/>
      <c r="CM28" s="43" t="str">
        <f>IF(FILIACIÓN!Z25="MOSTRAR","1","")</f>
        <v/>
      </c>
      <c r="CN28" s="43">
        <v>15</v>
      </c>
      <c r="CO28" s="43"/>
      <c r="CP28" s="43"/>
      <c r="CQ28" s="43"/>
      <c r="CR28" s="43"/>
      <c r="CS28" s="43"/>
      <c r="CU28" s="43"/>
      <c r="CV28" s="43"/>
      <c r="CW28" s="43"/>
      <c r="CX28" s="43"/>
      <c r="CY28" s="43"/>
      <c r="DA28" s="43"/>
      <c r="DB28" s="43"/>
      <c r="DC28" s="43"/>
      <c r="DD28" s="43"/>
      <c r="DE28" s="43"/>
      <c r="DG28" s="43"/>
      <c r="DH28" s="43"/>
      <c r="DI28" s="43"/>
      <c r="DJ28" s="43"/>
      <c r="DK28" s="43"/>
      <c r="DP28" s="43"/>
      <c r="DQ28" s="43"/>
      <c r="DR28" s="43"/>
      <c r="DS28" s="43"/>
      <c r="DT28" s="43"/>
      <c r="DV28" s="43"/>
      <c r="DW28" s="43"/>
      <c r="DX28" s="43"/>
      <c r="DY28" s="43"/>
      <c r="DZ28" s="43"/>
      <c r="EB28" s="43"/>
      <c r="EC28" s="43"/>
      <c r="ED28" s="43"/>
      <c r="EE28" s="43"/>
      <c r="EF28" s="43"/>
      <c r="EH28" s="43"/>
      <c r="EI28" s="43"/>
      <c r="EJ28" s="43"/>
      <c r="EK28" s="43"/>
      <c r="EL28" s="43"/>
      <c r="EN28" s="43"/>
      <c r="EO28" s="43"/>
      <c r="EP28" s="43"/>
      <c r="EQ28" s="43"/>
      <c r="ER28" s="43"/>
      <c r="ET28" s="43"/>
      <c r="EU28" s="43"/>
      <c r="EV28" s="43"/>
      <c r="EW28" s="43"/>
      <c r="EX28" s="43"/>
      <c r="EZ28" s="43"/>
      <c r="FC28" s="43"/>
      <c r="FD28" s="43"/>
      <c r="FE28" s="43"/>
      <c r="FF28" s="43"/>
      <c r="FG28" s="43"/>
      <c r="FI28" s="43"/>
      <c r="FJ28" s="43"/>
      <c r="FK28" s="43"/>
      <c r="FL28" s="43"/>
      <c r="FM28" s="43"/>
      <c r="FO28" s="43"/>
      <c r="FP28" s="43"/>
      <c r="FQ28" s="43"/>
      <c r="FR28" s="43"/>
      <c r="FS28" s="43"/>
      <c r="FU28" s="43"/>
      <c r="FV28" s="43"/>
      <c r="FW28" s="43"/>
      <c r="FX28" s="43"/>
      <c r="FY28" s="43"/>
      <c r="GA28" s="43"/>
      <c r="GB28" s="43"/>
      <c r="GC28" s="43"/>
      <c r="GD28" s="43"/>
      <c r="GE28" s="43"/>
      <c r="GG28" s="43"/>
      <c r="GH28" s="43"/>
      <c r="GI28" s="43"/>
      <c r="GJ28" s="43"/>
      <c r="GK28" s="43"/>
      <c r="GM28" s="77"/>
      <c r="GO28" s="43"/>
      <c r="GP28" s="43"/>
      <c r="GQ28" s="43"/>
      <c r="GR28" s="43"/>
      <c r="GS28" s="43"/>
      <c r="GT28" s="25"/>
      <c r="GU28" s="43"/>
      <c r="GV28" s="43"/>
      <c r="GW28" s="43"/>
      <c r="GX28" s="43"/>
      <c r="GY28" s="43"/>
      <c r="GZ28" s="25"/>
      <c r="HA28" s="43"/>
      <c r="HB28" s="43"/>
      <c r="HC28" s="43"/>
      <c r="HD28" s="43"/>
      <c r="HE28" s="43"/>
      <c r="HF28" s="25"/>
      <c r="HG28" s="43"/>
      <c r="HH28" s="43"/>
      <c r="HI28" s="43"/>
      <c r="HJ28" s="43"/>
      <c r="HK28" s="43"/>
      <c r="HL28" s="25"/>
      <c r="HM28" s="43"/>
      <c r="HN28" s="43"/>
      <c r="HO28" s="43"/>
      <c r="HP28" s="43"/>
      <c r="HQ28" s="43"/>
      <c r="HR28" s="25"/>
      <c r="HS28" s="43"/>
      <c r="HT28" s="43"/>
      <c r="HU28" s="43"/>
      <c r="HV28" s="43"/>
      <c r="HW28" s="43"/>
      <c r="HX28" s="25"/>
      <c r="HY28" s="77"/>
    </row>
    <row r="29" spans="1:233" ht="21.75" customHeight="1">
      <c r="A29" s="189">
        <f>--SUBTOTAL(2,CN$13:CN29)</f>
        <v>16</v>
      </c>
      <c r="B29" s="638" t="str">
        <f>IF(FILIACIÓN!B26="","",UPPER(FILIACIÓN!B26))</f>
        <v/>
      </c>
      <c r="C29" s="639"/>
      <c r="D29" s="640"/>
      <c r="E29" s="446" t="str">
        <f t="shared" si="3"/>
        <v/>
      </c>
      <c r="F29" s="161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294"/>
      <c r="V29" s="295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3"/>
      <c r="BX29" s="180">
        <f t="shared" si="4"/>
        <v>0</v>
      </c>
      <c r="BY29" s="181">
        <f t="shared" si="5"/>
        <v>0</v>
      </c>
      <c r="BZ29" s="179">
        <f t="shared" si="0"/>
        <v>0</v>
      </c>
      <c r="CA29" s="186">
        <f t="shared" si="1"/>
        <v>0</v>
      </c>
      <c r="CB29" s="186">
        <f t="shared" si="6"/>
        <v>0</v>
      </c>
      <c r="CC29" s="456" t="str">
        <f>FILIACIÓN!Y26</f>
        <v/>
      </c>
      <c r="CD29" s="443" t="str">
        <f t="shared" si="2"/>
        <v/>
      </c>
      <c r="CE29" s="78"/>
      <c r="CF29" s="436"/>
      <c r="CG29" s="437"/>
      <c r="CH29" s="437"/>
      <c r="CI29" s="437"/>
      <c r="CJ29" s="437"/>
      <c r="CK29" s="43"/>
      <c r="CL29" s="43"/>
      <c r="CM29" s="43" t="str">
        <f>IF(FILIACIÓN!Z26="MOSTRAR","1","")</f>
        <v/>
      </c>
      <c r="CN29" s="43">
        <v>16</v>
      </c>
      <c r="CO29" s="43"/>
      <c r="CP29" s="43"/>
      <c r="CQ29" s="43"/>
      <c r="CR29" s="43"/>
      <c r="CS29" s="43"/>
      <c r="CU29" s="43"/>
      <c r="CV29" s="43"/>
      <c r="CW29" s="43"/>
      <c r="CX29" s="43"/>
      <c r="CY29" s="43"/>
      <c r="DA29" s="43"/>
      <c r="DB29" s="43"/>
      <c r="DC29" s="43"/>
      <c r="DD29" s="43"/>
      <c r="DE29" s="43"/>
      <c r="DG29" s="43"/>
      <c r="DH29" s="43"/>
      <c r="DI29" s="43"/>
      <c r="DJ29" s="43"/>
      <c r="DK29" s="43"/>
      <c r="DP29" s="43"/>
      <c r="DQ29" s="43"/>
      <c r="DR29" s="43"/>
      <c r="DS29" s="43"/>
      <c r="DT29" s="43"/>
      <c r="DV29" s="43"/>
      <c r="DW29" s="43"/>
      <c r="DX29" s="43"/>
      <c r="DY29" s="43"/>
      <c r="DZ29" s="43"/>
      <c r="EB29" s="43"/>
      <c r="EC29" s="43"/>
      <c r="ED29" s="43"/>
      <c r="EE29" s="43"/>
      <c r="EF29" s="43"/>
      <c r="EH29" s="43"/>
      <c r="EI29" s="43"/>
      <c r="EJ29" s="43"/>
      <c r="EK29" s="43"/>
      <c r="EL29" s="43"/>
      <c r="EN29" s="43"/>
      <c r="EO29" s="43"/>
      <c r="EP29" s="43"/>
      <c r="EQ29" s="43"/>
      <c r="ER29" s="43"/>
      <c r="ET29" s="43"/>
      <c r="EU29" s="43"/>
      <c r="EV29" s="43"/>
      <c r="EW29" s="43"/>
      <c r="EX29" s="43"/>
      <c r="EZ29" s="43"/>
      <c r="FC29" s="43"/>
      <c r="FD29" s="43"/>
      <c r="FE29" s="43"/>
      <c r="FF29" s="43"/>
      <c r="FG29" s="43"/>
      <c r="FI29" s="43"/>
      <c r="FJ29" s="43"/>
      <c r="FK29" s="43"/>
      <c r="FL29" s="43"/>
      <c r="FM29" s="43"/>
      <c r="FO29" s="43"/>
      <c r="FP29" s="43"/>
      <c r="FQ29" s="43"/>
      <c r="FR29" s="43"/>
      <c r="FS29" s="43"/>
      <c r="FU29" s="43"/>
      <c r="FV29" s="43"/>
      <c r="FW29" s="43"/>
      <c r="FX29" s="43"/>
      <c r="FY29" s="43"/>
      <c r="GA29" s="43"/>
      <c r="GB29" s="43"/>
      <c r="GC29" s="43"/>
      <c r="GD29" s="43"/>
      <c r="GE29" s="43"/>
      <c r="GG29" s="43"/>
      <c r="GH29" s="43"/>
      <c r="GI29" s="43"/>
      <c r="GJ29" s="43"/>
      <c r="GK29" s="43"/>
      <c r="GM29" s="77"/>
      <c r="GO29" s="43"/>
      <c r="GP29" s="43"/>
      <c r="GQ29" s="43"/>
      <c r="GR29" s="43"/>
      <c r="GS29" s="43"/>
      <c r="GT29" s="25"/>
      <c r="GU29" s="43"/>
      <c r="GV29" s="43"/>
      <c r="GW29" s="43"/>
      <c r="GX29" s="43"/>
      <c r="GY29" s="43"/>
      <c r="GZ29" s="25"/>
      <c r="HA29" s="43"/>
      <c r="HB29" s="43"/>
      <c r="HC29" s="43"/>
      <c r="HD29" s="43"/>
      <c r="HE29" s="43"/>
      <c r="HF29" s="25"/>
      <c r="HG29" s="43"/>
      <c r="HH29" s="43"/>
      <c r="HI29" s="43"/>
      <c r="HJ29" s="43"/>
      <c r="HK29" s="43"/>
      <c r="HL29" s="25"/>
      <c r="HM29" s="43"/>
      <c r="HN29" s="43"/>
      <c r="HO29" s="43"/>
      <c r="HP29" s="43"/>
      <c r="HQ29" s="43"/>
      <c r="HR29" s="25"/>
      <c r="HS29" s="43"/>
      <c r="HT29" s="43"/>
      <c r="HU29" s="43"/>
      <c r="HV29" s="43"/>
      <c r="HW29" s="43"/>
      <c r="HX29" s="25"/>
      <c r="HY29" s="77"/>
    </row>
    <row r="30" spans="1:233" ht="21.75" customHeight="1">
      <c r="A30" s="189">
        <f>--SUBTOTAL(2,CN$13:CN30)</f>
        <v>17</v>
      </c>
      <c r="B30" s="638" t="str">
        <f>IF(FILIACIÓN!B27="","",UPPER(FILIACIÓN!B27))</f>
        <v/>
      </c>
      <c r="C30" s="639"/>
      <c r="D30" s="640"/>
      <c r="E30" s="446" t="str">
        <f t="shared" si="3"/>
        <v/>
      </c>
      <c r="F30" s="161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294"/>
      <c r="V30" s="295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3"/>
      <c r="BX30" s="180">
        <f t="shared" si="4"/>
        <v>0</v>
      </c>
      <c r="BY30" s="181">
        <f t="shared" si="5"/>
        <v>0</v>
      </c>
      <c r="BZ30" s="179">
        <f t="shared" si="0"/>
        <v>0</v>
      </c>
      <c r="CA30" s="186">
        <f t="shared" si="1"/>
        <v>0</v>
      </c>
      <c r="CB30" s="186">
        <f t="shared" si="6"/>
        <v>0</v>
      </c>
      <c r="CC30" s="456" t="str">
        <f>FILIACIÓN!Y27</f>
        <v/>
      </c>
      <c r="CD30" s="443" t="str">
        <f t="shared" si="2"/>
        <v/>
      </c>
      <c r="CE30" s="78"/>
      <c r="CF30" s="436"/>
      <c r="CG30" s="437"/>
      <c r="CH30" s="437"/>
      <c r="CI30" s="437"/>
      <c r="CJ30" s="437"/>
      <c r="CK30" s="43"/>
      <c r="CL30" s="43"/>
      <c r="CM30" s="43" t="str">
        <f>IF(FILIACIÓN!Z27="MOSTRAR","1","")</f>
        <v/>
      </c>
      <c r="CN30" s="43">
        <v>17</v>
      </c>
      <c r="CO30" s="43"/>
      <c r="CP30" s="43"/>
      <c r="CQ30" s="43"/>
      <c r="CR30" s="43"/>
      <c r="CS30" s="43"/>
      <c r="CU30" s="43"/>
      <c r="CV30" s="43"/>
      <c r="CW30" s="43"/>
      <c r="CX30" s="43"/>
      <c r="CY30" s="43"/>
      <c r="DA30" s="43"/>
      <c r="DB30" s="43"/>
      <c r="DC30" s="43"/>
      <c r="DD30" s="43"/>
      <c r="DE30" s="43"/>
      <c r="DG30" s="43"/>
      <c r="DH30" s="43"/>
      <c r="DI30" s="43"/>
      <c r="DJ30" s="43"/>
      <c r="DK30" s="43"/>
      <c r="DP30" s="43"/>
      <c r="DQ30" s="43"/>
      <c r="DR30" s="43"/>
      <c r="DS30" s="43"/>
      <c r="DT30" s="43"/>
      <c r="DV30" s="43"/>
      <c r="DW30" s="43"/>
      <c r="DX30" s="43"/>
      <c r="DY30" s="43"/>
      <c r="DZ30" s="43"/>
      <c r="EB30" s="43"/>
      <c r="EC30" s="43"/>
      <c r="ED30" s="43"/>
      <c r="EE30" s="43"/>
      <c r="EF30" s="43"/>
      <c r="EH30" s="43"/>
      <c r="EI30" s="43"/>
      <c r="EJ30" s="43"/>
      <c r="EK30" s="43"/>
      <c r="EL30" s="43"/>
      <c r="EN30" s="43"/>
      <c r="EO30" s="43"/>
      <c r="EP30" s="43"/>
      <c r="EQ30" s="43"/>
      <c r="ER30" s="43"/>
      <c r="ET30" s="43"/>
      <c r="EU30" s="43"/>
      <c r="EV30" s="43"/>
      <c r="EW30" s="43"/>
      <c r="EX30" s="43"/>
      <c r="EZ30" s="43"/>
      <c r="FC30" s="43"/>
      <c r="FD30" s="43"/>
      <c r="FE30" s="43"/>
      <c r="FF30" s="43"/>
      <c r="FG30" s="43"/>
      <c r="FI30" s="43"/>
      <c r="FJ30" s="43"/>
      <c r="FK30" s="43"/>
      <c r="FL30" s="43"/>
      <c r="FM30" s="43"/>
      <c r="FO30" s="43"/>
      <c r="FP30" s="43"/>
      <c r="FQ30" s="43"/>
      <c r="FR30" s="43"/>
      <c r="FS30" s="43"/>
      <c r="FU30" s="43"/>
      <c r="FV30" s="43"/>
      <c r="FW30" s="43"/>
      <c r="FX30" s="43"/>
      <c r="FY30" s="43"/>
      <c r="GA30" s="43"/>
      <c r="GB30" s="43"/>
      <c r="GC30" s="43"/>
      <c r="GD30" s="43"/>
      <c r="GE30" s="43"/>
      <c r="GG30" s="43"/>
      <c r="GH30" s="43"/>
      <c r="GI30" s="43"/>
      <c r="GJ30" s="43"/>
      <c r="GK30" s="43"/>
      <c r="GM30" s="77"/>
      <c r="GO30" s="43"/>
      <c r="GP30" s="43"/>
      <c r="GQ30" s="43"/>
      <c r="GR30" s="43"/>
      <c r="GS30" s="43"/>
      <c r="GT30" s="25"/>
      <c r="GU30" s="43"/>
      <c r="GV30" s="43"/>
      <c r="GW30" s="43"/>
      <c r="GX30" s="43"/>
      <c r="GY30" s="43"/>
      <c r="GZ30" s="25"/>
      <c r="HA30" s="43"/>
      <c r="HB30" s="43"/>
      <c r="HC30" s="43"/>
      <c r="HD30" s="43"/>
      <c r="HE30" s="43"/>
      <c r="HF30" s="25"/>
      <c r="HG30" s="43"/>
      <c r="HH30" s="43"/>
      <c r="HI30" s="43"/>
      <c r="HJ30" s="43"/>
      <c r="HK30" s="43"/>
      <c r="HL30" s="25"/>
      <c r="HM30" s="43"/>
      <c r="HN30" s="43"/>
      <c r="HO30" s="43"/>
      <c r="HP30" s="43"/>
      <c r="HQ30" s="43"/>
      <c r="HR30" s="25"/>
      <c r="HS30" s="43"/>
      <c r="HT30" s="43"/>
      <c r="HU30" s="43"/>
      <c r="HV30" s="43"/>
      <c r="HW30" s="43"/>
      <c r="HX30" s="25"/>
      <c r="HY30" s="77"/>
    </row>
    <row r="31" spans="1:233" ht="21.75" customHeight="1">
      <c r="A31" s="189">
        <f>--SUBTOTAL(2,CN$13:CN31)</f>
        <v>18</v>
      </c>
      <c r="B31" s="638" t="str">
        <f>IF(FILIACIÓN!B28="","",UPPER(FILIACIÓN!B28))</f>
        <v/>
      </c>
      <c r="C31" s="639"/>
      <c r="D31" s="640"/>
      <c r="E31" s="446" t="str">
        <f t="shared" si="3"/>
        <v/>
      </c>
      <c r="F31" s="161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294"/>
      <c r="V31" s="295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3"/>
      <c r="BX31" s="180">
        <f t="shared" si="4"/>
        <v>0</v>
      </c>
      <c r="BY31" s="181">
        <f t="shared" si="5"/>
        <v>0</v>
      </c>
      <c r="BZ31" s="179">
        <f t="shared" si="0"/>
        <v>0</v>
      </c>
      <c r="CA31" s="186">
        <f t="shared" si="1"/>
        <v>0</v>
      </c>
      <c r="CB31" s="186">
        <f t="shared" si="6"/>
        <v>0</v>
      </c>
      <c r="CC31" s="456" t="str">
        <f>FILIACIÓN!Y28</f>
        <v/>
      </c>
      <c r="CD31" s="443" t="str">
        <f t="shared" si="2"/>
        <v/>
      </c>
      <c r="CE31" s="78"/>
      <c r="CF31" s="436"/>
      <c r="CG31" s="437"/>
      <c r="CH31" s="437"/>
      <c r="CI31" s="437"/>
      <c r="CJ31" s="437"/>
      <c r="CK31" s="43"/>
      <c r="CL31" s="43"/>
      <c r="CM31" s="43" t="str">
        <f>IF(FILIACIÓN!Z28="MOSTRAR","1","")</f>
        <v/>
      </c>
      <c r="CN31" s="43">
        <v>18</v>
      </c>
      <c r="CO31" s="43"/>
      <c r="CP31" s="43"/>
      <c r="CQ31" s="43"/>
      <c r="CR31" s="43"/>
      <c r="CS31" s="43"/>
      <c r="CU31" s="43"/>
      <c r="CV31" s="43"/>
      <c r="CW31" s="43"/>
      <c r="CX31" s="43"/>
      <c r="CY31" s="43"/>
      <c r="DA31" s="43"/>
      <c r="DB31" s="43"/>
      <c r="DC31" s="43"/>
      <c r="DD31" s="43"/>
      <c r="DE31" s="43"/>
      <c r="DG31" s="43"/>
      <c r="DH31" s="43"/>
      <c r="DI31" s="43"/>
      <c r="DJ31" s="43"/>
      <c r="DK31" s="43"/>
      <c r="DP31" s="43"/>
      <c r="DQ31" s="43"/>
      <c r="DR31" s="43"/>
      <c r="DS31" s="43"/>
      <c r="DT31" s="43"/>
      <c r="DV31" s="43"/>
      <c r="DW31" s="43"/>
      <c r="DX31" s="43"/>
      <c r="DY31" s="43"/>
      <c r="DZ31" s="43"/>
      <c r="EB31" s="43"/>
      <c r="EC31" s="43"/>
      <c r="ED31" s="43"/>
      <c r="EE31" s="43"/>
      <c r="EF31" s="43"/>
      <c r="EH31" s="43"/>
      <c r="EI31" s="43"/>
      <c r="EJ31" s="43"/>
      <c r="EK31" s="43"/>
      <c r="EL31" s="43"/>
      <c r="EN31" s="43"/>
      <c r="EO31" s="43"/>
      <c r="EP31" s="43"/>
      <c r="EQ31" s="43"/>
      <c r="ER31" s="43"/>
      <c r="ET31" s="43"/>
      <c r="EU31" s="43"/>
      <c r="EV31" s="43"/>
      <c r="EW31" s="43"/>
      <c r="EX31" s="43"/>
      <c r="EZ31" s="43"/>
      <c r="FC31" s="43"/>
      <c r="FD31" s="43"/>
      <c r="FE31" s="43"/>
      <c r="FF31" s="43"/>
      <c r="FG31" s="43"/>
      <c r="FI31" s="43"/>
      <c r="FJ31" s="43"/>
      <c r="FK31" s="43"/>
      <c r="FL31" s="43"/>
      <c r="FM31" s="43"/>
      <c r="FO31" s="43"/>
      <c r="FP31" s="43"/>
      <c r="FQ31" s="43"/>
      <c r="FR31" s="43"/>
      <c r="FS31" s="43"/>
      <c r="FU31" s="43"/>
      <c r="FV31" s="43"/>
      <c r="FW31" s="43"/>
      <c r="FX31" s="43"/>
      <c r="FY31" s="43"/>
      <c r="GA31" s="43"/>
      <c r="GB31" s="43"/>
      <c r="GC31" s="43"/>
      <c r="GD31" s="43"/>
      <c r="GE31" s="43"/>
      <c r="GG31" s="43"/>
      <c r="GH31" s="43"/>
      <c r="GI31" s="43"/>
      <c r="GJ31" s="43"/>
      <c r="GK31" s="43"/>
      <c r="GM31" s="77"/>
      <c r="GO31" s="43"/>
      <c r="GP31" s="43"/>
      <c r="GQ31" s="43"/>
      <c r="GR31" s="43"/>
      <c r="GS31" s="43"/>
      <c r="GT31" s="25"/>
      <c r="GU31" s="43"/>
      <c r="GV31" s="43"/>
      <c r="GW31" s="43"/>
      <c r="GX31" s="43"/>
      <c r="GY31" s="43"/>
      <c r="GZ31" s="25"/>
      <c r="HA31" s="43"/>
      <c r="HB31" s="43"/>
      <c r="HC31" s="43"/>
      <c r="HD31" s="43"/>
      <c r="HE31" s="43"/>
      <c r="HF31" s="25"/>
      <c r="HG31" s="43"/>
      <c r="HH31" s="43"/>
      <c r="HI31" s="43"/>
      <c r="HJ31" s="43"/>
      <c r="HK31" s="43"/>
      <c r="HL31" s="25"/>
      <c r="HM31" s="43"/>
      <c r="HN31" s="43"/>
      <c r="HO31" s="43"/>
      <c r="HP31" s="43"/>
      <c r="HQ31" s="43"/>
      <c r="HR31" s="25"/>
      <c r="HS31" s="43"/>
      <c r="HT31" s="43"/>
      <c r="HU31" s="43"/>
      <c r="HV31" s="43"/>
      <c r="HW31" s="43"/>
      <c r="HX31" s="25"/>
      <c r="HY31" s="77"/>
    </row>
    <row r="32" spans="1:233" ht="21.75" customHeight="1">
      <c r="A32" s="189">
        <f>--SUBTOTAL(2,CN$13:CN32)</f>
        <v>19</v>
      </c>
      <c r="B32" s="638" t="str">
        <f>IF(FILIACIÓN!B29="","",UPPER(FILIACIÓN!B29))</f>
        <v/>
      </c>
      <c r="C32" s="639"/>
      <c r="D32" s="640"/>
      <c r="E32" s="446" t="str">
        <f t="shared" si="3"/>
        <v/>
      </c>
      <c r="F32" s="161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294"/>
      <c r="V32" s="295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3"/>
      <c r="BX32" s="180">
        <f t="shared" si="4"/>
        <v>0</v>
      </c>
      <c r="BY32" s="181">
        <f t="shared" si="5"/>
        <v>0</v>
      </c>
      <c r="BZ32" s="179">
        <f t="shared" si="0"/>
        <v>0</v>
      </c>
      <c r="CA32" s="186">
        <f t="shared" si="1"/>
        <v>0</v>
      </c>
      <c r="CB32" s="186">
        <f t="shared" si="6"/>
        <v>0</v>
      </c>
      <c r="CC32" s="456" t="str">
        <f>FILIACIÓN!Y29</f>
        <v/>
      </c>
      <c r="CD32" s="443" t="str">
        <f t="shared" si="2"/>
        <v/>
      </c>
      <c r="CE32" s="78"/>
      <c r="CF32" s="436"/>
      <c r="CG32" s="437"/>
      <c r="CH32" s="437"/>
      <c r="CI32" s="437"/>
      <c r="CJ32" s="437"/>
      <c r="CK32" s="43"/>
      <c r="CL32" s="43"/>
      <c r="CM32" s="43" t="str">
        <f>IF(FILIACIÓN!Z29="MOSTRAR","1","")</f>
        <v/>
      </c>
      <c r="CN32" s="43">
        <v>19</v>
      </c>
      <c r="CO32" s="43"/>
      <c r="CP32" s="43"/>
      <c r="CQ32" s="43"/>
      <c r="CR32" s="43"/>
      <c r="CS32" s="43"/>
      <c r="CU32" s="43"/>
      <c r="CV32" s="43"/>
      <c r="CW32" s="43"/>
      <c r="CX32" s="43"/>
      <c r="CY32" s="43"/>
      <c r="DA32" s="43"/>
      <c r="DB32" s="43"/>
      <c r="DC32" s="43"/>
      <c r="DD32" s="43"/>
      <c r="DE32" s="43"/>
      <c r="DG32" s="43"/>
      <c r="DH32" s="43"/>
      <c r="DI32" s="43"/>
      <c r="DJ32" s="43"/>
      <c r="DK32" s="43"/>
      <c r="DP32" s="43"/>
      <c r="DQ32" s="43"/>
      <c r="DR32" s="43"/>
      <c r="DS32" s="43"/>
      <c r="DT32" s="43"/>
      <c r="DV32" s="43"/>
      <c r="DW32" s="43"/>
      <c r="DX32" s="43"/>
      <c r="DY32" s="43"/>
      <c r="DZ32" s="43"/>
      <c r="EB32" s="43"/>
      <c r="EC32" s="43"/>
      <c r="ED32" s="43"/>
      <c r="EE32" s="43"/>
      <c r="EF32" s="43"/>
      <c r="EH32" s="43"/>
      <c r="EI32" s="43"/>
      <c r="EJ32" s="43"/>
      <c r="EK32" s="43"/>
      <c r="EL32" s="43"/>
      <c r="EN32" s="43"/>
      <c r="EO32" s="43"/>
      <c r="EP32" s="43"/>
      <c r="EQ32" s="43"/>
      <c r="ER32" s="43"/>
      <c r="ET32" s="43"/>
      <c r="EU32" s="43"/>
      <c r="EV32" s="43"/>
      <c r="EW32" s="43"/>
      <c r="EX32" s="43"/>
      <c r="EZ32" s="43"/>
      <c r="FC32" s="43"/>
      <c r="FD32" s="43"/>
      <c r="FE32" s="43"/>
      <c r="FF32" s="43"/>
      <c r="FG32" s="43"/>
      <c r="FI32" s="43"/>
      <c r="FJ32" s="43"/>
      <c r="FK32" s="43"/>
      <c r="FL32" s="43"/>
      <c r="FM32" s="43"/>
      <c r="FO32" s="43"/>
      <c r="FP32" s="43"/>
      <c r="FQ32" s="43"/>
      <c r="FR32" s="43"/>
      <c r="FS32" s="43"/>
      <c r="FU32" s="43"/>
      <c r="FV32" s="43"/>
      <c r="FW32" s="43"/>
      <c r="FX32" s="43"/>
      <c r="FY32" s="43"/>
      <c r="GA32" s="43"/>
      <c r="GB32" s="43"/>
      <c r="GC32" s="43"/>
      <c r="GD32" s="43"/>
      <c r="GE32" s="43"/>
      <c r="GG32" s="43"/>
      <c r="GH32" s="43"/>
      <c r="GI32" s="43"/>
      <c r="GJ32" s="43"/>
      <c r="GK32" s="43"/>
      <c r="GM32" s="77"/>
      <c r="GO32" s="43"/>
      <c r="GP32" s="43"/>
      <c r="GQ32" s="43"/>
      <c r="GR32" s="43"/>
      <c r="GS32" s="43"/>
      <c r="GT32" s="25"/>
      <c r="GU32" s="43"/>
      <c r="GV32" s="43"/>
      <c r="GW32" s="43"/>
      <c r="GX32" s="43"/>
      <c r="GY32" s="43"/>
      <c r="GZ32" s="25"/>
      <c r="HA32" s="43"/>
      <c r="HB32" s="43"/>
      <c r="HC32" s="43"/>
      <c r="HD32" s="43"/>
      <c r="HE32" s="43"/>
      <c r="HF32" s="25"/>
      <c r="HG32" s="43"/>
      <c r="HH32" s="43"/>
      <c r="HI32" s="43"/>
      <c r="HJ32" s="43"/>
      <c r="HK32" s="43"/>
      <c r="HL32" s="25"/>
      <c r="HM32" s="43"/>
      <c r="HN32" s="43"/>
      <c r="HO32" s="43"/>
      <c r="HP32" s="43"/>
      <c r="HQ32" s="43"/>
      <c r="HR32" s="25"/>
      <c r="HS32" s="43"/>
      <c r="HT32" s="43"/>
      <c r="HU32" s="43"/>
      <c r="HV32" s="43"/>
      <c r="HW32" s="43"/>
      <c r="HX32" s="25"/>
      <c r="HY32" s="77"/>
    </row>
    <row r="33" spans="1:233" ht="21.75" customHeight="1">
      <c r="A33" s="189">
        <f>--SUBTOTAL(2,CN$13:CN33)</f>
        <v>20</v>
      </c>
      <c r="B33" s="638" t="str">
        <f>IF(FILIACIÓN!B30="","",UPPER(FILIACIÓN!B30))</f>
        <v/>
      </c>
      <c r="C33" s="639"/>
      <c r="D33" s="640"/>
      <c r="E33" s="446" t="str">
        <f t="shared" si="3"/>
        <v/>
      </c>
      <c r="F33" s="161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294"/>
      <c r="V33" s="295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3"/>
      <c r="BX33" s="180">
        <f t="shared" si="4"/>
        <v>0</v>
      </c>
      <c r="BY33" s="181">
        <f t="shared" si="5"/>
        <v>0</v>
      </c>
      <c r="BZ33" s="179">
        <f t="shared" si="0"/>
        <v>0</v>
      </c>
      <c r="CA33" s="186">
        <f t="shared" si="1"/>
        <v>0</v>
      </c>
      <c r="CB33" s="186">
        <f t="shared" si="6"/>
        <v>0</v>
      </c>
      <c r="CC33" s="456" t="str">
        <f>FILIACIÓN!Y30</f>
        <v/>
      </c>
      <c r="CD33" s="443" t="str">
        <f t="shared" si="2"/>
        <v/>
      </c>
      <c r="CE33" s="78"/>
      <c r="CF33" s="436"/>
      <c r="CG33" s="437"/>
      <c r="CH33" s="437"/>
      <c r="CI33" s="437"/>
      <c r="CJ33" s="437"/>
      <c r="CK33" s="43"/>
      <c r="CL33" s="43"/>
      <c r="CM33" s="43" t="str">
        <f>IF(FILIACIÓN!Z30="MOSTRAR","1","")</f>
        <v/>
      </c>
      <c r="CN33" s="43">
        <v>20</v>
      </c>
      <c r="CO33" s="43"/>
      <c r="CP33" s="43"/>
      <c r="CQ33" s="43"/>
      <c r="CR33" s="43"/>
      <c r="CS33" s="43"/>
      <c r="CU33" s="43"/>
      <c r="CV33" s="43"/>
      <c r="CW33" s="43"/>
      <c r="CX33" s="43"/>
      <c r="CY33" s="43"/>
      <c r="DA33" s="43"/>
      <c r="DB33" s="43"/>
      <c r="DC33" s="43"/>
      <c r="DD33" s="43"/>
      <c r="DE33" s="43"/>
      <c r="DG33" s="43"/>
      <c r="DH33" s="43"/>
      <c r="DI33" s="43"/>
      <c r="DJ33" s="43"/>
      <c r="DK33" s="43"/>
      <c r="DP33" s="43"/>
      <c r="DQ33" s="43"/>
      <c r="DR33" s="43"/>
      <c r="DS33" s="43"/>
      <c r="DT33" s="43"/>
      <c r="DV33" s="43"/>
      <c r="DW33" s="43"/>
      <c r="DX33" s="43"/>
      <c r="DY33" s="43"/>
      <c r="DZ33" s="43"/>
      <c r="EB33" s="43"/>
      <c r="EC33" s="43"/>
      <c r="ED33" s="43"/>
      <c r="EE33" s="43"/>
      <c r="EF33" s="43"/>
      <c r="EH33" s="43"/>
      <c r="EI33" s="43"/>
      <c r="EJ33" s="43"/>
      <c r="EK33" s="43"/>
      <c r="EL33" s="43"/>
      <c r="EN33" s="43"/>
      <c r="EO33" s="43"/>
      <c r="EP33" s="43"/>
      <c r="EQ33" s="43"/>
      <c r="ER33" s="43"/>
      <c r="ET33" s="43"/>
      <c r="EU33" s="43"/>
      <c r="EV33" s="43"/>
      <c r="EW33" s="43"/>
      <c r="EX33" s="43"/>
      <c r="EZ33" s="43"/>
      <c r="FC33" s="43"/>
      <c r="FD33" s="43"/>
      <c r="FE33" s="43"/>
      <c r="FF33" s="43"/>
      <c r="FG33" s="43"/>
      <c r="FI33" s="43"/>
      <c r="FJ33" s="43"/>
      <c r="FK33" s="43"/>
      <c r="FL33" s="43"/>
      <c r="FM33" s="43"/>
      <c r="FO33" s="43"/>
      <c r="FP33" s="43"/>
      <c r="FQ33" s="43"/>
      <c r="FR33" s="43"/>
      <c r="FS33" s="43"/>
      <c r="FU33" s="43"/>
      <c r="FV33" s="43"/>
      <c r="FW33" s="43"/>
      <c r="FX33" s="43"/>
      <c r="FY33" s="43"/>
      <c r="GA33" s="43"/>
      <c r="GB33" s="43"/>
      <c r="GC33" s="43"/>
      <c r="GD33" s="43"/>
      <c r="GE33" s="43"/>
      <c r="GG33" s="43"/>
      <c r="GH33" s="43"/>
      <c r="GI33" s="43"/>
      <c r="GJ33" s="43"/>
      <c r="GK33" s="43"/>
      <c r="GM33" s="77"/>
      <c r="GO33" s="43"/>
      <c r="GP33" s="43"/>
      <c r="GQ33" s="43"/>
      <c r="GR33" s="43"/>
      <c r="GS33" s="43"/>
      <c r="GT33" s="25"/>
      <c r="GU33" s="43"/>
      <c r="GV33" s="43"/>
      <c r="GW33" s="43"/>
      <c r="GX33" s="43"/>
      <c r="GY33" s="43"/>
      <c r="GZ33" s="25"/>
      <c r="HA33" s="43"/>
      <c r="HB33" s="43"/>
      <c r="HC33" s="43"/>
      <c r="HD33" s="43"/>
      <c r="HE33" s="43"/>
      <c r="HF33" s="25"/>
      <c r="HG33" s="43"/>
      <c r="HH33" s="43"/>
      <c r="HI33" s="43"/>
      <c r="HJ33" s="43"/>
      <c r="HK33" s="43"/>
      <c r="HL33" s="25"/>
      <c r="HM33" s="43"/>
      <c r="HN33" s="43"/>
      <c r="HO33" s="43"/>
      <c r="HP33" s="43"/>
      <c r="HQ33" s="43"/>
      <c r="HR33" s="25"/>
      <c r="HS33" s="43"/>
      <c r="HT33" s="43"/>
      <c r="HU33" s="43"/>
      <c r="HV33" s="43"/>
      <c r="HW33" s="43"/>
      <c r="HX33" s="25"/>
      <c r="HY33" s="77"/>
    </row>
    <row r="34" spans="1:233" ht="21.75" customHeight="1">
      <c r="A34" s="189">
        <f>--SUBTOTAL(2,CN$13:CN34)</f>
        <v>21</v>
      </c>
      <c r="B34" s="638" t="str">
        <f>IF(FILIACIÓN!B31="","",UPPER(FILIACIÓN!B31))</f>
        <v/>
      </c>
      <c r="C34" s="639"/>
      <c r="D34" s="640"/>
      <c r="E34" s="446" t="str">
        <f t="shared" si="3"/>
        <v/>
      </c>
      <c r="F34" s="161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294"/>
      <c r="V34" s="295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3"/>
      <c r="BX34" s="180">
        <f t="shared" si="4"/>
        <v>0</v>
      </c>
      <c r="BY34" s="181">
        <f t="shared" si="5"/>
        <v>0</v>
      </c>
      <c r="BZ34" s="179">
        <f t="shared" si="0"/>
        <v>0</v>
      </c>
      <c r="CA34" s="186">
        <f t="shared" si="1"/>
        <v>0</v>
      </c>
      <c r="CB34" s="186">
        <f t="shared" si="6"/>
        <v>0</v>
      </c>
      <c r="CC34" s="456" t="str">
        <f>FILIACIÓN!Y31</f>
        <v/>
      </c>
      <c r="CD34" s="443" t="str">
        <f t="shared" si="2"/>
        <v/>
      </c>
      <c r="CE34" s="78"/>
      <c r="CF34" s="436"/>
      <c r="CG34" s="437"/>
      <c r="CH34" s="437"/>
      <c r="CI34" s="437"/>
      <c r="CJ34" s="437"/>
      <c r="CK34" s="43"/>
      <c r="CL34" s="43"/>
      <c r="CM34" s="43" t="str">
        <f>IF(FILIACIÓN!Z31="MOSTRAR","1","")</f>
        <v/>
      </c>
      <c r="CN34" s="43">
        <v>21</v>
      </c>
      <c r="CO34" s="43"/>
      <c r="CP34" s="43"/>
      <c r="CQ34" s="43"/>
      <c r="CR34" s="43"/>
      <c r="CS34" s="43"/>
      <c r="CU34" s="43"/>
      <c r="CV34" s="43"/>
      <c r="CW34" s="43"/>
      <c r="CX34" s="43"/>
      <c r="CY34" s="43"/>
      <c r="DA34" s="43"/>
      <c r="DB34" s="43"/>
      <c r="DC34" s="43"/>
      <c r="DD34" s="43"/>
      <c r="DE34" s="43"/>
      <c r="DG34" s="43"/>
      <c r="DH34" s="43"/>
      <c r="DI34" s="43"/>
      <c r="DJ34" s="43"/>
      <c r="DK34" s="43"/>
      <c r="DP34" s="43"/>
      <c r="DQ34" s="43"/>
      <c r="DR34" s="43"/>
      <c r="DS34" s="43"/>
      <c r="DT34" s="43"/>
      <c r="DV34" s="43"/>
      <c r="DW34" s="43"/>
      <c r="DX34" s="43"/>
      <c r="DY34" s="43"/>
      <c r="DZ34" s="43"/>
      <c r="EB34" s="43"/>
      <c r="EC34" s="43"/>
      <c r="ED34" s="43"/>
      <c r="EE34" s="43"/>
      <c r="EF34" s="43"/>
      <c r="EH34" s="43"/>
      <c r="EI34" s="43"/>
      <c r="EJ34" s="43"/>
      <c r="EK34" s="43"/>
      <c r="EL34" s="43"/>
      <c r="EN34" s="43"/>
      <c r="EO34" s="43"/>
      <c r="EP34" s="43"/>
      <c r="EQ34" s="43"/>
      <c r="ER34" s="43"/>
      <c r="ET34" s="43"/>
      <c r="EU34" s="43"/>
      <c r="EV34" s="43"/>
      <c r="EW34" s="43"/>
      <c r="EX34" s="43"/>
      <c r="EZ34" s="43"/>
      <c r="FC34" s="43"/>
      <c r="FD34" s="43"/>
      <c r="FE34" s="43"/>
      <c r="FF34" s="43"/>
      <c r="FG34" s="43"/>
      <c r="FI34" s="43"/>
      <c r="FJ34" s="43"/>
      <c r="FK34" s="43"/>
      <c r="FL34" s="43"/>
      <c r="FM34" s="43"/>
      <c r="FO34" s="43"/>
      <c r="FP34" s="43"/>
      <c r="FQ34" s="43"/>
      <c r="FR34" s="43"/>
      <c r="FS34" s="43"/>
      <c r="FU34" s="43"/>
      <c r="FV34" s="43"/>
      <c r="FW34" s="43"/>
      <c r="FX34" s="43"/>
      <c r="FY34" s="43"/>
      <c r="GA34" s="43"/>
      <c r="GB34" s="43"/>
      <c r="GC34" s="43"/>
      <c r="GD34" s="43"/>
      <c r="GE34" s="43"/>
      <c r="GG34" s="43"/>
      <c r="GH34" s="43"/>
      <c r="GI34" s="43"/>
      <c r="GJ34" s="43"/>
      <c r="GK34" s="43"/>
      <c r="GM34" s="77"/>
      <c r="GO34" s="43"/>
      <c r="GP34" s="43"/>
      <c r="GQ34" s="43"/>
      <c r="GR34" s="43"/>
      <c r="GS34" s="43"/>
      <c r="GT34" s="25"/>
      <c r="GU34" s="43"/>
      <c r="GV34" s="43"/>
      <c r="GW34" s="43"/>
      <c r="GX34" s="43"/>
      <c r="GY34" s="43"/>
      <c r="GZ34" s="25"/>
      <c r="HA34" s="43"/>
      <c r="HB34" s="43"/>
      <c r="HC34" s="43"/>
      <c r="HD34" s="43"/>
      <c r="HE34" s="43"/>
      <c r="HF34" s="25"/>
      <c r="HG34" s="43"/>
      <c r="HH34" s="43"/>
      <c r="HI34" s="43"/>
      <c r="HJ34" s="43"/>
      <c r="HK34" s="43"/>
      <c r="HL34" s="25"/>
      <c r="HM34" s="43"/>
      <c r="HN34" s="43"/>
      <c r="HO34" s="43"/>
      <c r="HP34" s="43"/>
      <c r="HQ34" s="43"/>
      <c r="HR34" s="25"/>
      <c r="HS34" s="43"/>
      <c r="HT34" s="43"/>
      <c r="HU34" s="43"/>
      <c r="HV34" s="43"/>
      <c r="HW34" s="43"/>
      <c r="HX34" s="25"/>
      <c r="HY34" s="77"/>
    </row>
    <row r="35" spans="1:233" ht="21.75" customHeight="1">
      <c r="A35" s="189">
        <f>--SUBTOTAL(2,CN$13:CN35)</f>
        <v>22</v>
      </c>
      <c r="B35" s="638" t="str">
        <f>IF(FILIACIÓN!B32="","",UPPER(FILIACIÓN!B32))</f>
        <v/>
      </c>
      <c r="C35" s="639"/>
      <c r="D35" s="640"/>
      <c r="E35" s="446" t="str">
        <f t="shared" si="3"/>
        <v/>
      </c>
      <c r="F35" s="161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294"/>
      <c r="V35" s="295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3"/>
      <c r="BX35" s="180">
        <f t="shared" si="4"/>
        <v>0</v>
      </c>
      <c r="BY35" s="181">
        <f t="shared" si="5"/>
        <v>0</v>
      </c>
      <c r="BZ35" s="179">
        <f t="shared" si="0"/>
        <v>0</v>
      </c>
      <c r="CA35" s="186">
        <f t="shared" si="1"/>
        <v>0</v>
      </c>
      <c r="CB35" s="186">
        <f t="shared" si="6"/>
        <v>0</v>
      </c>
      <c r="CC35" s="456" t="str">
        <f>FILIACIÓN!Y32</f>
        <v/>
      </c>
      <c r="CD35" s="443" t="str">
        <f t="shared" si="2"/>
        <v/>
      </c>
      <c r="CE35" s="78"/>
      <c r="CF35" s="436"/>
      <c r="CG35" s="437"/>
      <c r="CH35" s="437"/>
      <c r="CI35" s="437"/>
      <c r="CJ35" s="437"/>
      <c r="CK35" s="43"/>
      <c r="CL35" s="43"/>
      <c r="CM35" s="43" t="str">
        <f>IF(FILIACIÓN!Z32="MOSTRAR","1","")</f>
        <v/>
      </c>
      <c r="CN35" s="43">
        <v>22</v>
      </c>
      <c r="CO35" s="43"/>
      <c r="CP35" s="43"/>
      <c r="CQ35" s="43"/>
      <c r="CR35" s="43"/>
      <c r="CS35" s="43"/>
      <c r="CU35" s="43"/>
      <c r="CV35" s="43"/>
      <c r="CW35" s="43"/>
      <c r="CX35" s="43"/>
      <c r="CY35" s="43"/>
      <c r="DA35" s="43"/>
      <c r="DB35" s="43"/>
      <c r="DC35" s="43"/>
      <c r="DD35" s="43"/>
      <c r="DE35" s="43"/>
      <c r="DG35" s="43"/>
      <c r="DH35" s="43"/>
      <c r="DI35" s="43"/>
      <c r="DJ35" s="43"/>
      <c r="DK35" s="43"/>
      <c r="DP35" s="43"/>
      <c r="DQ35" s="43"/>
      <c r="DR35" s="43"/>
      <c r="DS35" s="43"/>
      <c r="DT35" s="43"/>
      <c r="DV35" s="43"/>
      <c r="DW35" s="43"/>
      <c r="DX35" s="43"/>
      <c r="DY35" s="43"/>
      <c r="DZ35" s="43"/>
      <c r="EB35" s="43"/>
      <c r="EC35" s="43"/>
      <c r="ED35" s="43"/>
      <c r="EE35" s="43"/>
      <c r="EF35" s="43"/>
      <c r="EH35" s="43"/>
      <c r="EI35" s="43"/>
      <c r="EJ35" s="43"/>
      <c r="EK35" s="43"/>
      <c r="EL35" s="43"/>
      <c r="EN35" s="43"/>
      <c r="EO35" s="43"/>
      <c r="EP35" s="43"/>
      <c r="EQ35" s="43"/>
      <c r="ER35" s="43"/>
      <c r="ET35" s="43"/>
      <c r="EU35" s="43"/>
      <c r="EV35" s="43"/>
      <c r="EW35" s="43"/>
      <c r="EX35" s="43"/>
      <c r="EZ35" s="43"/>
      <c r="FC35" s="43"/>
      <c r="FD35" s="43"/>
      <c r="FE35" s="43"/>
      <c r="FF35" s="43"/>
      <c r="FG35" s="43"/>
      <c r="FI35" s="43"/>
      <c r="FJ35" s="43"/>
      <c r="FK35" s="43"/>
      <c r="FL35" s="43"/>
      <c r="FM35" s="43"/>
      <c r="FO35" s="43"/>
      <c r="FP35" s="43"/>
      <c r="FQ35" s="43"/>
      <c r="FR35" s="43"/>
      <c r="FS35" s="43"/>
      <c r="FU35" s="43"/>
      <c r="FV35" s="43"/>
      <c r="FW35" s="43"/>
      <c r="FX35" s="43"/>
      <c r="FY35" s="43"/>
      <c r="GA35" s="43"/>
      <c r="GB35" s="43"/>
      <c r="GC35" s="43"/>
      <c r="GD35" s="43"/>
      <c r="GE35" s="43"/>
      <c r="GG35" s="43"/>
      <c r="GH35" s="43"/>
      <c r="GI35" s="43"/>
      <c r="GJ35" s="43"/>
      <c r="GK35" s="43"/>
      <c r="GM35" s="77"/>
      <c r="GO35" s="43"/>
      <c r="GP35" s="43"/>
      <c r="GQ35" s="43"/>
      <c r="GR35" s="43"/>
      <c r="GS35" s="43"/>
      <c r="GT35" s="25"/>
      <c r="GU35" s="43"/>
      <c r="GV35" s="43"/>
      <c r="GW35" s="43"/>
      <c r="GX35" s="43"/>
      <c r="GY35" s="43"/>
      <c r="GZ35" s="25"/>
      <c r="HA35" s="43"/>
      <c r="HB35" s="43"/>
      <c r="HC35" s="43"/>
      <c r="HD35" s="43"/>
      <c r="HE35" s="43"/>
      <c r="HF35" s="25"/>
      <c r="HG35" s="43"/>
      <c r="HH35" s="43"/>
      <c r="HI35" s="43"/>
      <c r="HJ35" s="43"/>
      <c r="HK35" s="43"/>
      <c r="HL35" s="25"/>
      <c r="HM35" s="43"/>
      <c r="HN35" s="43"/>
      <c r="HO35" s="43"/>
      <c r="HP35" s="43"/>
      <c r="HQ35" s="43"/>
      <c r="HR35" s="25"/>
      <c r="HS35" s="43"/>
      <c r="HT35" s="43"/>
      <c r="HU35" s="43"/>
      <c r="HV35" s="43"/>
      <c r="HW35" s="43"/>
      <c r="HX35" s="25"/>
      <c r="HY35" s="77"/>
    </row>
    <row r="36" spans="1:233" ht="21.75" customHeight="1">
      <c r="A36" s="189">
        <f>--SUBTOTAL(2,CN$13:CN36)</f>
        <v>23</v>
      </c>
      <c r="B36" s="638" t="str">
        <f>IF(FILIACIÓN!B33="","",UPPER(FILIACIÓN!B33))</f>
        <v/>
      </c>
      <c r="C36" s="639"/>
      <c r="D36" s="640"/>
      <c r="E36" s="446" t="str">
        <f t="shared" si="3"/>
        <v/>
      </c>
      <c r="F36" s="161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294"/>
      <c r="V36" s="295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3"/>
      <c r="BX36" s="180">
        <f t="shared" si="4"/>
        <v>0</v>
      </c>
      <c r="BY36" s="181">
        <f t="shared" si="5"/>
        <v>0</v>
      </c>
      <c r="BZ36" s="179">
        <f t="shared" si="0"/>
        <v>0</v>
      </c>
      <c r="CA36" s="186">
        <f t="shared" si="1"/>
        <v>0</v>
      </c>
      <c r="CB36" s="186">
        <f t="shared" si="6"/>
        <v>0</v>
      </c>
      <c r="CC36" s="456" t="str">
        <f>FILIACIÓN!Y33</f>
        <v/>
      </c>
      <c r="CD36" s="443" t="str">
        <f t="shared" si="2"/>
        <v/>
      </c>
      <c r="CE36" s="78"/>
      <c r="CF36" s="436"/>
      <c r="CG36" s="437"/>
      <c r="CH36" s="437"/>
      <c r="CI36" s="437"/>
      <c r="CJ36" s="437"/>
      <c r="CK36" s="43"/>
      <c r="CL36" s="43"/>
      <c r="CM36" s="43" t="str">
        <f>IF(FILIACIÓN!Z33="MOSTRAR","1","")</f>
        <v/>
      </c>
      <c r="CN36" s="43">
        <v>23</v>
      </c>
      <c r="CO36" s="43"/>
      <c r="CP36" s="43"/>
      <c r="CQ36" s="43"/>
      <c r="CR36" s="43"/>
      <c r="CS36" s="43"/>
      <c r="CU36" s="43"/>
      <c r="CV36" s="43"/>
      <c r="CW36" s="43"/>
      <c r="CX36" s="43"/>
      <c r="CY36" s="43"/>
      <c r="DA36" s="43"/>
      <c r="DB36" s="43"/>
      <c r="DC36" s="43"/>
      <c r="DD36" s="43"/>
      <c r="DE36" s="43"/>
      <c r="DG36" s="43"/>
      <c r="DH36" s="43"/>
      <c r="DI36" s="43"/>
      <c r="DJ36" s="43"/>
      <c r="DK36" s="43"/>
      <c r="DP36" s="43"/>
      <c r="DQ36" s="43"/>
      <c r="DR36" s="43"/>
      <c r="DS36" s="43"/>
      <c r="DT36" s="43"/>
      <c r="DV36" s="43"/>
      <c r="DW36" s="43"/>
      <c r="DX36" s="43"/>
      <c r="DY36" s="43"/>
      <c r="DZ36" s="43"/>
      <c r="EB36" s="43"/>
      <c r="EC36" s="43"/>
      <c r="ED36" s="43"/>
      <c r="EE36" s="43"/>
      <c r="EF36" s="43"/>
      <c r="EH36" s="43"/>
      <c r="EI36" s="43"/>
      <c r="EJ36" s="43"/>
      <c r="EK36" s="43"/>
      <c r="EL36" s="43"/>
      <c r="EN36" s="43"/>
      <c r="EO36" s="43"/>
      <c r="EP36" s="43"/>
      <c r="EQ36" s="43"/>
      <c r="ER36" s="43"/>
      <c r="ET36" s="43"/>
      <c r="EU36" s="43"/>
      <c r="EV36" s="43"/>
      <c r="EW36" s="43"/>
      <c r="EX36" s="43"/>
      <c r="EZ36" s="43"/>
      <c r="FC36" s="43"/>
      <c r="FD36" s="43"/>
      <c r="FE36" s="43"/>
      <c r="FF36" s="43"/>
      <c r="FG36" s="43"/>
      <c r="FI36" s="43"/>
      <c r="FJ36" s="43"/>
      <c r="FK36" s="43"/>
      <c r="FL36" s="43"/>
      <c r="FM36" s="43"/>
      <c r="FO36" s="43"/>
      <c r="FP36" s="43"/>
      <c r="FQ36" s="43"/>
      <c r="FR36" s="43"/>
      <c r="FS36" s="43"/>
      <c r="FU36" s="43"/>
      <c r="FV36" s="43"/>
      <c r="FW36" s="43"/>
      <c r="FX36" s="43"/>
      <c r="FY36" s="43"/>
      <c r="GA36" s="43"/>
      <c r="GB36" s="43"/>
      <c r="GC36" s="43"/>
      <c r="GD36" s="43"/>
      <c r="GE36" s="43"/>
      <c r="GG36" s="43"/>
      <c r="GH36" s="43"/>
      <c r="GI36" s="43"/>
      <c r="GJ36" s="43"/>
      <c r="GK36" s="43"/>
      <c r="GM36" s="77"/>
      <c r="GO36" s="43"/>
      <c r="GP36" s="43"/>
      <c r="GQ36" s="43"/>
      <c r="GR36" s="43"/>
      <c r="GS36" s="43"/>
      <c r="GT36" s="25"/>
      <c r="GU36" s="43"/>
      <c r="GV36" s="43"/>
      <c r="GW36" s="43"/>
      <c r="GX36" s="43"/>
      <c r="GY36" s="43"/>
      <c r="GZ36" s="25"/>
      <c r="HA36" s="43"/>
      <c r="HB36" s="43"/>
      <c r="HC36" s="43"/>
      <c r="HD36" s="43"/>
      <c r="HE36" s="43"/>
      <c r="HF36" s="25"/>
      <c r="HG36" s="43"/>
      <c r="HH36" s="43"/>
      <c r="HI36" s="43"/>
      <c r="HJ36" s="43"/>
      <c r="HK36" s="43"/>
      <c r="HL36" s="25"/>
      <c r="HM36" s="43"/>
      <c r="HN36" s="43"/>
      <c r="HO36" s="43"/>
      <c r="HP36" s="43"/>
      <c r="HQ36" s="43"/>
      <c r="HR36" s="25"/>
      <c r="HS36" s="43"/>
      <c r="HT36" s="43"/>
      <c r="HU36" s="43"/>
      <c r="HV36" s="43"/>
      <c r="HW36" s="43"/>
      <c r="HX36" s="25"/>
      <c r="HY36" s="77"/>
    </row>
    <row r="37" spans="1:233" ht="21.75" customHeight="1">
      <c r="A37" s="189">
        <f>--SUBTOTAL(2,CN$13:CN37)</f>
        <v>24</v>
      </c>
      <c r="B37" s="638" t="str">
        <f>IF(FILIACIÓN!B34="","",UPPER(FILIACIÓN!B34))</f>
        <v/>
      </c>
      <c r="C37" s="639"/>
      <c r="D37" s="640"/>
      <c r="E37" s="446" t="str">
        <f t="shared" si="3"/>
        <v/>
      </c>
      <c r="F37" s="161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294"/>
      <c r="V37" s="295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3"/>
      <c r="BX37" s="180">
        <f t="shared" si="4"/>
        <v>0</v>
      </c>
      <c r="BY37" s="181">
        <f t="shared" si="5"/>
        <v>0</v>
      </c>
      <c r="BZ37" s="179">
        <f t="shared" si="0"/>
        <v>0</v>
      </c>
      <c r="CA37" s="186">
        <f t="shared" si="1"/>
        <v>0</v>
      </c>
      <c r="CB37" s="186">
        <f t="shared" si="6"/>
        <v>0</v>
      </c>
      <c r="CC37" s="456" t="str">
        <f>FILIACIÓN!Y34</f>
        <v/>
      </c>
      <c r="CD37" s="443" t="str">
        <f t="shared" si="2"/>
        <v/>
      </c>
      <c r="CE37" s="78"/>
      <c r="CF37" s="436"/>
      <c r="CG37" s="437"/>
      <c r="CH37" s="437"/>
      <c r="CI37" s="437"/>
      <c r="CJ37" s="437"/>
      <c r="CK37" s="43"/>
      <c r="CL37" s="43"/>
      <c r="CM37" s="43" t="str">
        <f>IF(FILIACIÓN!Z34="MOSTRAR","1","")</f>
        <v/>
      </c>
      <c r="CN37" s="43">
        <v>24</v>
      </c>
      <c r="CO37" s="43"/>
      <c r="CP37" s="43"/>
      <c r="CQ37" s="43"/>
      <c r="CR37" s="43"/>
      <c r="CS37" s="43"/>
      <c r="CU37" s="43"/>
      <c r="CV37" s="43"/>
      <c r="CW37" s="43"/>
      <c r="CX37" s="43"/>
      <c r="CY37" s="43"/>
      <c r="DA37" s="43"/>
      <c r="DB37" s="43"/>
      <c r="DC37" s="43"/>
      <c r="DD37" s="43"/>
      <c r="DE37" s="43"/>
      <c r="DG37" s="43"/>
      <c r="DH37" s="43"/>
      <c r="DI37" s="43"/>
      <c r="DJ37" s="43"/>
      <c r="DK37" s="43"/>
      <c r="DP37" s="43"/>
      <c r="DQ37" s="43"/>
      <c r="DR37" s="43"/>
      <c r="DS37" s="43"/>
      <c r="DT37" s="43"/>
      <c r="DV37" s="43"/>
      <c r="DW37" s="43"/>
      <c r="DX37" s="43"/>
      <c r="DY37" s="43"/>
      <c r="DZ37" s="43"/>
      <c r="EB37" s="43"/>
      <c r="EC37" s="43"/>
      <c r="ED37" s="43"/>
      <c r="EE37" s="43"/>
      <c r="EF37" s="43"/>
      <c r="EH37" s="43"/>
      <c r="EI37" s="43"/>
      <c r="EJ37" s="43"/>
      <c r="EK37" s="43"/>
      <c r="EL37" s="43"/>
      <c r="EN37" s="43"/>
      <c r="EO37" s="43"/>
      <c r="EP37" s="43"/>
      <c r="EQ37" s="43"/>
      <c r="ER37" s="43"/>
      <c r="ET37" s="43"/>
      <c r="EU37" s="43"/>
      <c r="EV37" s="43"/>
      <c r="EW37" s="43"/>
      <c r="EX37" s="43"/>
      <c r="EZ37" s="43"/>
      <c r="FC37" s="43"/>
      <c r="FD37" s="43"/>
      <c r="FE37" s="43"/>
      <c r="FF37" s="43"/>
      <c r="FG37" s="43"/>
      <c r="FI37" s="43"/>
      <c r="FJ37" s="43"/>
      <c r="FK37" s="43"/>
      <c r="FL37" s="43"/>
      <c r="FM37" s="43"/>
      <c r="FO37" s="43"/>
      <c r="FP37" s="43"/>
      <c r="FQ37" s="43"/>
      <c r="FR37" s="43"/>
      <c r="FS37" s="43"/>
      <c r="FU37" s="43"/>
      <c r="FV37" s="43"/>
      <c r="FW37" s="43"/>
      <c r="FX37" s="43"/>
      <c r="FY37" s="43"/>
      <c r="GA37" s="43"/>
      <c r="GB37" s="43"/>
      <c r="GC37" s="43"/>
      <c r="GD37" s="43"/>
      <c r="GE37" s="43"/>
      <c r="GG37" s="43"/>
      <c r="GH37" s="43"/>
      <c r="GI37" s="43"/>
      <c r="GJ37" s="43"/>
      <c r="GK37" s="43"/>
      <c r="GM37" s="77"/>
      <c r="GO37" s="43"/>
      <c r="GP37" s="43"/>
      <c r="GQ37" s="43"/>
      <c r="GR37" s="43"/>
      <c r="GS37" s="43"/>
      <c r="GT37" s="25"/>
      <c r="GU37" s="43"/>
      <c r="GV37" s="43"/>
      <c r="GW37" s="43"/>
      <c r="GX37" s="43"/>
      <c r="GY37" s="43"/>
      <c r="GZ37" s="25"/>
      <c r="HA37" s="43"/>
      <c r="HB37" s="43"/>
      <c r="HC37" s="43"/>
      <c r="HD37" s="43"/>
      <c r="HE37" s="43"/>
      <c r="HF37" s="25"/>
      <c r="HG37" s="43"/>
      <c r="HH37" s="43"/>
      <c r="HI37" s="43"/>
      <c r="HJ37" s="43"/>
      <c r="HK37" s="43"/>
      <c r="HL37" s="25"/>
      <c r="HM37" s="43"/>
      <c r="HN37" s="43"/>
      <c r="HO37" s="43"/>
      <c r="HP37" s="43"/>
      <c r="HQ37" s="43"/>
      <c r="HR37" s="25"/>
      <c r="HS37" s="43"/>
      <c r="HT37" s="43"/>
      <c r="HU37" s="43"/>
      <c r="HV37" s="43"/>
      <c r="HW37" s="43"/>
      <c r="HX37" s="25"/>
      <c r="HY37" s="77"/>
    </row>
    <row r="38" spans="1:233" ht="21.75" customHeight="1">
      <c r="A38" s="189">
        <f>--SUBTOTAL(2,CN$13:CN38)</f>
        <v>25</v>
      </c>
      <c r="B38" s="638" t="str">
        <f>IF(FILIACIÓN!B35="","",UPPER(FILIACIÓN!B35))</f>
        <v/>
      </c>
      <c r="C38" s="639"/>
      <c r="D38" s="640"/>
      <c r="E38" s="446" t="str">
        <f t="shared" si="3"/>
        <v/>
      </c>
      <c r="F38" s="161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294"/>
      <c r="V38" s="295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3"/>
      <c r="BX38" s="180">
        <f t="shared" si="4"/>
        <v>0</v>
      </c>
      <c r="BY38" s="181">
        <f t="shared" si="5"/>
        <v>0</v>
      </c>
      <c r="BZ38" s="179">
        <f t="shared" si="0"/>
        <v>0</v>
      </c>
      <c r="CA38" s="186">
        <f t="shared" si="1"/>
        <v>0</v>
      </c>
      <c r="CB38" s="186">
        <f t="shared" si="6"/>
        <v>0</v>
      </c>
      <c r="CC38" s="456" t="str">
        <f>FILIACIÓN!Y35</f>
        <v/>
      </c>
      <c r="CD38" s="443" t="str">
        <f t="shared" si="2"/>
        <v/>
      </c>
      <c r="CE38" s="78"/>
      <c r="CF38" s="436"/>
      <c r="CG38" s="437"/>
      <c r="CH38" s="437"/>
      <c r="CI38" s="437"/>
      <c r="CJ38" s="437"/>
      <c r="CK38" s="43"/>
      <c r="CL38" s="43"/>
      <c r="CM38" s="43" t="str">
        <f>IF(FILIACIÓN!Z35="MOSTRAR","1","")</f>
        <v/>
      </c>
      <c r="CN38" s="43">
        <v>25</v>
      </c>
      <c r="CO38" s="43"/>
      <c r="CP38" s="43"/>
      <c r="CQ38" s="43"/>
      <c r="CR38" s="43"/>
      <c r="CS38" s="43"/>
      <c r="CU38" s="43"/>
      <c r="CV38" s="43"/>
      <c r="CW38" s="43"/>
      <c r="CX38" s="43"/>
      <c r="CY38" s="43"/>
      <c r="DA38" s="43"/>
      <c r="DB38" s="43"/>
      <c r="DC38" s="43"/>
      <c r="DD38" s="43"/>
      <c r="DE38" s="43"/>
      <c r="DG38" s="43"/>
      <c r="DH38" s="43"/>
      <c r="DI38" s="43"/>
      <c r="DJ38" s="43"/>
      <c r="DK38" s="43"/>
      <c r="DP38" s="43"/>
      <c r="DQ38" s="43"/>
      <c r="DR38" s="43"/>
      <c r="DS38" s="43"/>
      <c r="DT38" s="43"/>
      <c r="DV38" s="43"/>
      <c r="DW38" s="43"/>
      <c r="DX38" s="43"/>
      <c r="DY38" s="43"/>
      <c r="DZ38" s="43"/>
      <c r="EB38" s="43"/>
      <c r="EC38" s="43"/>
      <c r="ED38" s="43"/>
      <c r="EE38" s="43"/>
      <c r="EF38" s="43"/>
      <c r="EH38" s="43"/>
      <c r="EI38" s="43"/>
      <c r="EJ38" s="43"/>
      <c r="EK38" s="43"/>
      <c r="EL38" s="43"/>
      <c r="EN38" s="43"/>
      <c r="EO38" s="43"/>
      <c r="EP38" s="43"/>
      <c r="EQ38" s="43"/>
      <c r="ER38" s="43"/>
      <c r="ET38" s="43"/>
      <c r="EU38" s="43"/>
      <c r="EV38" s="43"/>
      <c r="EW38" s="43"/>
      <c r="EX38" s="43"/>
      <c r="EZ38" s="43"/>
      <c r="FC38" s="43"/>
      <c r="FD38" s="43"/>
      <c r="FE38" s="43"/>
      <c r="FF38" s="43"/>
      <c r="FG38" s="43"/>
      <c r="FI38" s="43"/>
      <c r="FJ38" s="43"/>
      <c r="FK38" s="43"/>
      <c r="FL38" s="43"/>
      <c r="FM38" s="43"/>
      <c r="FO38" s="43"/>
      <c r="FP38" s="43"/>
      <c r="FQ38" s="43"/>
      <c r="FR38" s="43"/>
      <c r="FS38" s="43"/>
      <c r="FU38" s="43"/>
      <c r="FV38" s="43"/>
      <c r="FW38" s="43"/>
      <c r="FX38" s="43"/>
      <c r="FY38" s="43"/>
      <c r="GA38" s="43"/>
      <c r="GB38" s="43"/>
      <c r="GC38" s="43"/>
      <c r="GD38" s="43"/>
      <c r="GE38" s="43"/>
      <c r="GG38" s="43"/>
      <c r="GH38" s="43"/>
      <c r="GI38" s="43"/>
      <c r="GJ38" s="43"/>
      <c r="GK38" s="43"/>
      <c r="GM38" s="77"/>
      <c r="GO38" s="43"/>
      <c r="GP38" s="43"/>
      <c r="GQ38" s="43"/>
      <c r="GR38" s="43"/>
      <c r="GS38" s="43"/>
      <c r="GT38" s="25"/>
      <c r="GU38" s="43"/>
      <c r="GV38" s="43"/>
      <c r="GW38" s="43"/>
      <c r="GX38" s="43"/>
      <c r="GY38" s="43"/>
      <c r="GZ38" s="25"/>
      <c r="HA38" s="43"/>
      <c r="HB38" s="43"/>
      <c r="HC38" s="43"/>
      <c r="HD38" s="43"/>
      <c r="HE38" s="43"/>
      <c r="HF38" s="25"/>
      <c r="HG38" s="43"/>
      <c r="HH38" s="43"/>
      <c r="HI38" s="43"/>
      <c r="HJ38" s="43"/>
      <c r="HK38" s="43"/>
      <c r="HL38" s="25"/>
      <c r="HM38" s="43"/>
      <c r="HN38" s="43"/>
      <c r="HO38" s="43"/>
      <c r="HP38" s="43"/>
      <c r="HQ38" s="43"/>
      <c r="HR38" s="25"/>
      <c r="HS38" s="43"/>
      <c r="HT38" s="43"/>
      <c r="HU38" s="43"/>
      <c r="HV38" s="43"/>
      <c r="HW38" s="43"/>
      <c r="HX38" s="25"/>
      <c r="HY38" s="77"/>
    </row>
    <row r="39" spans="1:233" ht="21.75" customHeight="1">
      <c r="A39" s="189">
        <f>--SUBTOTAL(2,CN$13:CN39)</f>
        <v>26</v>
      </c>
      <c r="B39" s="638" t="str">
        <f>IF(FILIACIÓN!B36="","",UPPER(FILIACIÓN!B36))</f>
        <v/>
      </c>
      <c r="C39" s="639"/>
      <c r="D39" s="640"/>
      <c r="E39" s="446" t="str">
        <f t="shared" si="3"/>
        <v/>
      </c>
      <c r="F39" s="161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294"/>
      <c r="V39" s="295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3"/>
      <c r="BX39" s="180">
        <f t="shared" si="4"/>
        <v>0</v>
      </c>
      <c r="BY39" s="181">
        <f t="shared" si="5"/>
        <v>0</v>
      </c>
      <c r="BZ39" s="179">
        <f t="shared" si="0"/>
        <v>0</v>
      </c>
      <c r="CA39" s="186">
        <f t="shared" si="1"/>
        <v>0</v>
      </c>
      <c r="CB39" s="186">
        <f t="shared" si="6"/>
        <v>0</v>
      </c>
      <c r="CC39" s="456" t="str">
        <f>FILIACIÓN!Y36</f>
        <v/>
      </c>
      <c r="CD39" s="443" t="str">
        <f t="shared" si="2"/>
        <v/>
      </c>
      <c r="CE39" s="78"/>
      <c r="CF39" s="436"/>
      <c r="CG39" s="437"/>
      <c r="CH39" s="437"/>
      <c r="CI39" s="437"/>
      <c r="CJ39" s="437"/>
      <c r="CK39" s="43"/>
      <c r="CL39" s="43"/>
      <c r="CM39" s="43" t="str">
        <f>IF(FILIACIÓN!Z36="MOSTRAR","1","")</f>
        <v/>
      </c>
      <c r="CN39" s="43">
        <v>26</v>
      </c>
      <c r="CO39" s="43"/>
      <c r="CP39" s="43"/>
      <c r="CQ39" s="43"/>
      <c r="CR39" s="43"/>
      <c r="CS39" s="43"/>
      <c r="CU39" s="43"/>
      <c r="CV39" s="43"/>
      <c r="CW39" s="43"/>
      <c r="CX39" s="43"/>
      <c r="CY39" s="43"/>
      <c r="DA39" s="43"/>
      <c r="DB39" s="43"/>
      <c r="DC39" s="43"/>
      <c r="DD39" s="43"/>
      <c r="DE39" s="43"/>
      <c r="DG39" s="43"/>
      <c r="DH39" s="43"/>
      <c r="DI39" s="43"/>
      <c r="DJ39" s="43"/>
      <c r="DK39" s="43"/>
      <c r="DP39" s="43"/>
      <c r="DQ39" s="43"/>
      <c r="DR39" s="43"/>
      <c r="DS39" s="43"/>
      <c r="DT39" s="43"/>
      <c r="DV39" s="43"/>
      <c r="DW39" s="43"/>
      <c r="DX39" s="43"/>
      <c r="DY39" s="43"/>
      <c r="DZ39" s="43"/>
      <c r="EB39" s="43"/>
      <c r="EC39" s="43"/>
      <c r="ED39" s="43"/>
      <c r="EE39" s="43"/>
      <c r="EF39" s="43"/>
      <c r="EH39" s="43"/>
      <c r="EI39" s="43"/>
      <c r="EJ39" s="43"/>
      <c r="EK39" s="43"/>
      <c r="EL39" s="43"/>
      <c r="EN39" s="43"/>
      <c r="EO39" s="43"/>
      <c r="EP39" s="43"/>
      <c r="EQ39" s="43"/>
      <c r="ER39" s="43"/>
      <c r="ET39" s="43"/>
      <c r="EU39" s="43"/>
      <c r="EV39" s="43"/>
      <c r="EW39" s="43"/>
      <c r="EX39" s="43"/>
      <c r="EZ39" s="43"/>
      <c r="FC39" s="43"/>
      <c r="FD39" s="43"/>
      <c r="FE39" s="43"/>
      <c r="FF39" s="43"/>
      <c r="FG39" s="43"/>
      <c r="FI39" s="43"/>
      <c r="FJ39" s="43"/>
      <c r="FK39" s="43"/>
      <c r="FL39" s="43"/>
      <c r="FM39" s="43"/>
      <c r="FO39" s="43"/>
      <c r="FP39" s="43"/>
      <c r="FQ39" s="43"/>
      <c r="FR39" s="43"/>
      <c r="FS39" s="43"/>
      <c r="FU39" s="43"/>
      <c r="FV39" s="43"/>
      <c r="FW39" s="43"/>
      <c r="FX39" s="43"/>
      <c r="FY39" s="43"/>
      <c r="GA39" s="43"/>
      <c r="GB39" s="43"/>
      <c r="GC39" s="43"/>
      <c r="GD39" s="43"/>
      <c r="GE39" s="43"/>
      <c r="GG39" s="43"/>
      <c r="GH39" s="43"/>
      <c r="GI39" s="43"/>
      <c r="GJ39" s="43"/>
      <c r="GK39" s="43"/>
      <c r="GM39" s="77"/>
      <c r="GO39" s="43"/>
      <c r="GP39" s="43"/>
      <c r="GQ39" s="43"/>
      <c r="GR39" s="43"/>
      <c r="GS39" s="43"/>
      <c r="GT39" s="25"/>
      <c r="GU39" s="43"/>
      <c r="GV39" s="43"/>
      <c r="GW39" s="43"/>
      <c r="GX39" s="43"/>
      <c r="GY39" s="43"/>
      <c r="GZ39" s="25"/>
      <c r="HA39" s="43"/>
      <c r="HB39" s="43"/>
      <c r="HC39" s="43"/>
      <c r="HD39" s="43"/>
      <c r="HE39" s="43"/>
      <c r="HF39" s="25"/>
      <c r="HG39" s="43"/>
      <c r="HH39" s="43"/>
      <c r="HI39" s="43"/>
      <c r="HJ39" s="43"/>
      <c r="HK39" s="43"/>
      <c r="HL39" s="25"/>
      <c r="HM39" s="43"/>
      <c r="HN39" s="43"/>
      <c r="HO39" s="43"/>
      <c r="HP39" s="43"/>
      <c r="HQ39" s="43"/>
      <c r="HR39" s="25"/>
      <c r="HS39" s="43"/>
      <c r="HT39" s="43"/>
      <c r="HU39" s="43"/>
      <c r="HV39" s="43"/>
      <c r="HW39" s="43"/>
      <c r="HX39" s="25"/>
      <c r="HY39" s="77"/>
    </row>
    <row r="40" spans="1:233" ht="21.75" customHeight="1">
      <c r="A40" s="189">
        <f>--SUBTOTAL(2,CN$13:CN40)</f>
        <v>27</v>
      </c>
      <c r="B40" s="638" t="str">
        <f>IF(FILIACIÓN!B37="","",UPPER(FILIACIÓN!B37))</f>
        <v/>
      </c>
      <c r="C40" s="639"/>
      <c r="D40" s="640"/>
      <c r="E40" s="446" t="str">
        <f t="shared" si="3"/>
        <v/>
      </c>
      <c r="F40" s="161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294"/>
      <c r="V40" s="295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3"/>
      <c r="BX40" s="180">
        <f t="shared" si="4"/>
        <v>0</v>
      </c>
      <c r="BY40" s="181">
        <f t="shared" si="5"/>
        <v>0</v>
      </c>
      <c r="BZ40" s="179">
        <f t="shared" si="0"/>
        <v>0</v>
      </c>
      <c r="CA40" s="186">
        <f t="shared" si="1"/>
        <v>0</v>
      </c>
      <c r="CB40" s="186">
        <f t="shared" si="6"/>
        <v>0</v>
      </c>
      <c r="CC40" s="456" t="str">
        <f>FILIACIÓN!Y37</f>
        <v/>
      </c>
      <c r="CD40" s="443" t="str">
        <f t="shared" si="2"/>
        <v/>
      </c>
      <c r="CE40" s="78"/>
      <c r="CF40" s="436"/>
      <c r="CG40" s="437"/>
      <c r="CH40" s="437"/>
      <c r="CI40" s="437"/>
      <c r="CJ40" s="437"/>
      <c r="CK40" s="43"/>
      <c r="CL40" s="43"/>
      <c r="CM40" s="43" t="str">
        <f>IF(FILIACIÓN!Z37="MOSTRAR","1","")</f>
        <v/>
      </c>
      <c r="CN40" s="43">
        <v>27</v>
      </c>
      <c r="CO40" s="43"/>
      <c r="CP40" s="43"/>
      <c r="CQ40" s="43"/>
      <c r="CR40" s="43"/>
      <c r="CS40" s="43"/>
      <c r="CU40" s="43"/>
      <c r="CV40" s="43"/>
      <c r="CW40" s="43"/>
      <c r="CX40" s="43"/>
      <c r="CY40" s="43"/>
      <c r="DA40" s="43"/>
      <c r="DB40" s="43"/>
      <c r="DC40" s="43"/>
      <c r="DD40" s="43"/>
      <c r="DE40" s="43"/>
      <c r="DG40" s="43"/>
      <c r="DH40" s="43"/>
      <c r="DI40" s="43"/>
      <c r="DJ40" s="43"/>
      <c r="DK40" s="43"/>
      <c r="DP40" s="43"/>
      <c r="DQ40" s="43"/>
      <c r="DR40" s="43"/>
      <c r="DS40" s="43"/>
      <c r="DT40" s="43"/>
      <c r="DV40" s="43"/>
      <c r="DW40" s="43"/>
      <c r="DX40" s="43"/>
      <c r="DY40" s="43"/>
      <c r="DZ40" s="43"/>
      <c r="EB40" s="43"/>
      <c r="EC40" s="43"/>
      <c r="ED40" s="43"/>
      <c r="EE40" s="43"/>
      <c r="EF40" s="43"/>
      <c r="EH40" s="43"/>
      <c r="EI40" s="43"/>
      <c r="EJ40" s="43"/>
      <c r="EK40" s="43"/>
      <c r="EL40" s="43"/>
      <c r="EN40" s="43"/>
      <c r="EO40" s="43"/>
      <c r="EP40" s="43"/>
      <c r="EQ40" s="43"/>
      <c r="ER40" s="43"/>
      <c r="ET40" s="43"/>
      <c r="EU40" s="43"/>
      <c r="EV40" s="43"/>
      <c r="EW40" s="43"/>
      <c r="EX40" s="43"/>
      <c r="EZ40" s="43"/>
      <c r="FC40" s="43"/>
      <c r="FD40" s="43"/>
      <c r="FE40" s="43"/>
      <c r="FF40" s="43"/>
      <c r="FG40" s="43"/>
      <c r="FI40" s="43"/>
      <c r="FJ40" s="43"/>
      <c r="FK40" s="43"/>
      <c r="FL40" s="43"/>
      <c r="FM40" s="43"/>
      <c r="FO40" s="43"/>
      <c r="FP40" s="43"/>
      <c r="FQ40" s="43"/>
      <c r="FR40" s="43"/>
      <c r="FS40" s="43"/>
      <c r="FU40" s="43"/>
      <c r="FV40" s="43"/>
      <c r="FW40" s="43"/>
      <c r="FX40" s="43"/>
      <c r="FY40" s="43"/>
      <c r="GA40" s="43"/>
      <c r="GB40" s="43"/>
      <c r="GC40" s="43"/>
      <c r="GD40" s="43"/>
      <c r="GE40" s="43"/>
      <c r="GG40" s="43"/>
      <c r="GH40" s="43"/>
      <c r="GI40" s="43"/>
      <c r="GJ40" s="43"/>
      <c r="GK40" s="43"/>
      <c r="GM40" s="77"/>
      <c r="GO40" s="43"/>
      <c r="GP40" s="43"/>
      <c r="GQ40" s="43"/>
      <c r="GR40" s="43"/>
      <c r="GS40" s="43"/>
      <c r="GT40" s="25"/>
      <c r="GU40" s="43"/>
      <c r="GV40" s="43"/>
      <c r="GW40" s="43"/>
      <c r="GX40" s="43"/>
      <c r="GY40" s="43"/>
      <c r="GZ40" s="25"/>
      <c r="HA40" s="43"/>
      <c r="HB40" s="43"/>
      <c r="HC40" s="43"/>
      <c r="HD40" s="43"/>
      <c r="HE40" s="43"/>
      <c r="HF40" s="25"/>
      <c r="HG40" s="43"/>
      <c r="HH40" s="43"/>
      <c r="HI40" s="43"/>
      <c r="HJ40" s="43"/>
      <c r="HK40" s="43"/>
      <c r="HL40" s="25"/>
      <c r="HM40" s="43"/>
      <c r="HN40" s="43"/>
      <c r="HO40" s="43"/>
      <c r="HP40" s="43"/>
      <c r="HQ40" s="43"/>
      <c r="HR40" s="25"/>
      <c r="HS40" s="43"/>
      <c r="HT40" s="43"/>
      <c r="HU40" s="43"/>
      <c r="HV40" s="43"/>
      <c r="HW40" s="43"/>
      <c r="HX40" s="25"/>
      <c r="HY40" s="77"/>
    </row>
    <row r="41" spans="1:233" ht="21.75" customHeight="1">
      <c r="A41" s="189">
        <f>--SUBTOTAL(2,CN$13:CN41)</f>
        <v>28</v>
      </c>
      <c r="B41" s="638" t="str">
        <f>IF(FILIACIÓN!B38="","",UPPER(FILIACIÓN!B38))</f>
        <v/>
      </c>
      <c r="C41" s="639"/>
      <c r="D41" s="640"/>
      <c r="E41" s="446" t="str">
        <f t="shared" si="3"/>
        <v/>
      </c>
      <c r="F41" s="161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294"/>
      <c r="V41" s="295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3"/>
      <c r="BX41" s="180">
        <f t="shared" si="4"/>
        <v>0</v>
      </c>
      <c r="BY41" s="181">
        <f t="shared" si="5"/>
        <v>0</v>
      </c>
      <c r="BZ41" s="179">
        <f t="shared" si="0"/>
        <v>0</v>
      </c>
      <c r="CA41" s="186">
        <f t="shared" si="1"/>
        <v>0</v>
      </c>
      <c r="CB41" s="186">
        <f t="shared" si="6"/>
        <v>0</v>
      </c>
      <c r="CC41" s="456" t="str">
        <f>FILIACIÓN!Y38</f>
        <v/>
      </c>
      <c r="CD41" s="443" t="str">
        <f t="shared" si="2"/>
        <v/>
      </c>
      <c r="CE41" s="78"/>
      <c r="CF41" s="436"/>
      <c r="CG41" s="437"/>
      <c r="CH41" s="437"/>
      <c r="CI41" s="437"/>
      <c r="CJ41" s="437"/>
      <c r="CK41" s="43"/>
      <c r="CL41" s="43"/>
      <c r="CM41" s="43" t="str">
        <f>IF(FILIACIÓN!Z38="MOSTRAR","1","")</f>
        <v/>
      </c>
      <c r="CN41" s="43">
        <v>28</v>
      </c>
      <c r="CO41" s="43"/>
      <c r="CP41" s="43"/>
      <c r="CQ41" s="43"/>
      <c r="CR41" s="43"/>
      <c r="CS41" s="43"/>
      <c r="CU41" s="43"/>
      <c r="CV41" s="43"/>
      <c r="CW41" s="43"/>
      <c r="CX41" s="43"/>
      <c r="CY41" s="43"/>
      <c r="DA41" s="43"/>
      <c r="DB41" s="43"/>
      <c r="DC41" s="43"/>
      <c r="DD41" s="43"/>
      <c r="DE41" s="43"/>
      <c r="DG41" s="43"/>
      <c r="DH41" s="43"/>
      <c r="DI41" s="43"/>
      <c r="DJ41" s="43"/>
      <c r="DK41" s="43"/>
      <c r="DP41" s="43"/>
      <c r="DQ41" s="43"/>
      <c r="DR41" s="43"/>
      <c r="DS41" s="43"/>
      <c r="DT41" s="43"/>
      <c r="DV41" s="43"/>
      <c r="DW41" s="43"/>
      <c r="DX41" s="43"/>
      <c r="DY41" s="43"/>
      <c r="DZ41" s="43"/>
      <c r="EB41" s="43"/>
      <c r="EC41" s="43"/>
      <c r="ED41" s="43"/>
      <c r="EE41" s="43"/>
      <c r="EF41" s="43"/>
      <c r="EH41" s="43"/>
      <c r="EI41" s="43"/>
      <c r="EJ41" s="43"/>
      <c r="EK41" s="43"/>
      <c r="EL41" s="43"/>
      <c r="EN41" s="43"/>
      <c r="EO41" s="43"/>
      <c r="EP41" s="43"/>
      <c r="EQ41" s="43"/>
      <c r="ER41" s="43"/>
      <c r="ET41" s="43"/>
      <c r="EU41" s="43"/>
      <c r="EV41" s="43"/>
      <c r="EW41" s="43"/>
      <c r="EX41" s="43"/>
      <c r="EZ41" s="43"/>
      <c r="FC41" s="43"/>
      <c r="FD41" s="43"/>
      <c r="FE41" s="43"/>
      <c r="FF41" s="43"/>
      <c r="FG41" s="43"/>
      <c r="FI41" s="43"/>
      <c r="FJ41" s="43"/>
      <c r="FK41" s="43"/>
      <c r="FL41" s="43"/>
      <c r="FM41" s="43"/>
      <c r="FO41" s="43"/>
      <c r="FP41" s="43"/>
      <c r="FQ41" s="43"/>
      <c r="FR41" s="43"/>
      <c r="FS41" s="43"/>
      <c r="FU41" s="43"/>
      <c r="FV41" s="43"/>
      <c r="FW41" s="43"/>
      <c r="FX41" s="43"/>
      <c r="FY41" s="43"/>
      <c r="GA41" s="43"/>
      <c r="GB41" s="43"/>
      <c r="GC41" s="43"/>
      <c r="GD41" s="43"/>
      <c r="GE41" s="43"/>
      <c r="GG41" s="43"/>
      <c r="GH41" s="43"/>
      <c r="GI41" s="43"/>
      <c r="GJ41" s="43"/>
      <c r="GK41" s="43"/>
      <c r="GM41" s="77"/>
      <c r="GO41" s="43"/>
      <c r="GP41" s="43"/>
      <c r="GQ41" s="43"/>
      <c r="GR41" s="43"/>
      <c r="GS41" s="43"/>
      <c r="GT41" s="25"/>
      <c r="GU41" s="43"/>
      <c r="GV41" s="43"/>
      <c r="GW41" s="43"/>
      <c r="GX41" s="43"/>
      <c r="GY41" s="43"/>
      <c r="GZ41" s="25"/>
      <c r="HA41" s="43"/>
      <c r="HB41" s="43"/>
      <c r="HC41" s="43"/>
      <c r="HD41" s="43"/>
      <c r="HE41" s="43"/>
      <c r="HF41" s="25"/>
      <c r="HG41" s="43"/>
      <c r="HH41" s="43"/>
      <c r="HI41" s="43"/>
      <c r="HJ41" s="43"/>
      <c r="HK41" s="43"/>
      <c r="HL41" s="25"/>
      <c r="HM41" s="43"/>
      <c r="HN41" s="43"/>
      <c r="HO41" s="43"/>
      <c r="HP41" s="43"/>
      <c r="HQ41" s="43"/>
      <c r="HR41" s="25"/>
      <c r="HS41" s="43"/>
      <c r="HT41" s="43"/>
      <c r="HU41" s="43"/>
      <c r="HV41" s="43"/>
      <c r="HW41" s="43"/>
      <c r="HX41" s="25"/>
      <c r="HY41" s="77"/>
    </row>
    <row r="42" spans="1:233" ht="21.75" customHeight="1">
      <c r="A42" s="189">
        <f>--SUBTOTAL(2,CN$13:CN42)</f>
        <v>29</v>
      </c>
      <c r="B42" s="638" t="str">
        <f>IF(FILIACIÓN!B39="","",UPPER(FILIACIÓN!B39))</f>
        <v/>
      </c>
      <c r="C42" s="639"/>
      <c r="D42" s="640"/>
      <c r="E42" s="446" t="str">
        <f t="shared" si="3"/>
        <v/>
      </c>
      <c r="F42" s="161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294"/>
      <c r="V42" s="295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3"/>
      <c r="BX42" s="180">
        <f t="shared" si="4"/>
        <v>0</v>
      </c>
      <c r="BY42" s="181">
        <f t="shared" si="5"/>
        <v>0</v>
      </c>
      <c r="BZ42" s="179">
        <f t="shared" si="0"/>
        <v>0</v>
      </c>
      <c r="CA42" s="186">
        <f t="shared" si="1"/>
        <v>0</v>
      </c>
      <c r="CB42" s="186">
        <f t="shared" si="6"/>
        <v>0</v>
      </c>
      <c r="CC42" s="456" t="str">
        <f>FILIACIÓN!Y39</f>
        <v/>
      </c>
      <c r="CD42" s="443" t="str">
        <f t="shared" si="2"/>
        <v/>
      </c>
      <c r="CE42" s="78"/>
      <c r="CF42" s="436"/>
      <c r="CG42" s="437"/>
      <c r="CH42" s="437"/>
      <c r="CI42" s="437"/>
      <c r="CJ42" s="437"/>
      <c r="CK42" s="43"/>
      <c r="CL42" s="43"/>
      <c r="CM42" s="43" t="str">
        <f>IF(FILIACIÓN!Z39="MOSTRAR","1","")</f>
        <v/>
      </c>
      <c r="CN42" s="43">
        <v>29</v>
      </c>
      <c r="CO42" s="43"/>
      <c r="CP42" s="43"/>
      <c r="CQ42" s="43"/>
      <c r="CR42" s="43"/>
      <c r="CS42" s="43"/>
      <c r="CU42" s="43"/>
      <c r="CV42" s="43"/>
      <c r="CW42" s="43"/>
      <c r="CX42" s="43"/>
      <c r="CY42" s="43"/>
      <c r="DA42" s="43"/>
      <c r="DB42" s="43"/>
      <c r="DC42" s="43"/>
      <c r="DD42" s="43"/>
      <c r="DE42" s="43"/>
      <c r="DG42" s="43"/>
      <c r="DH42" s="43"/>
      <c r="DI42" s="43"/>
      <c r="DJ42" s="43"/>
      <c r="DK42" s="43"/>
      <c r="DP42" s="43"/>
      <c r="DQ42" s="43"/>
      <c r="DR42" s="43"/>
      <c r="DS42" s="43"/>
      <c r="DT42" s="43"/>
      <c r="DV42" s="43"/>
      <c r="DW42" s="43"/>
      <c r="DX42" s="43"/>
      <c r="DY42" s="43"/>
      <c r="DZ42" s="43"/>
      <c r="EB42" s="43"/>
      <c r="EC42" s="43"/>
      <c r="ED42" s="43"/>
      <c r="EE42" s="43"/>
      <c r="EF42" s="43"/>
      <c r="EH42" s="43"/>
      <c r="EI42" s="43"/>
      <c r="EJ42" s="43"/>
      <c r="EK42" s="43"/>
      <c r="EL42" s="43"/>
      <c r="EN42" s="43"/>
      <c r="EO42" s="43"/>
      <c r="EP42" s="43"/>
      <c r="EQ42" s="43"/>
      <c r="ER42" s="43"/>
      <c r="ET42" s="43"/>
      <c r="EU42" s="43"/>
      <c r="EV42" s="43"/>
      <c r="EW42" s="43"/>
      <c r="EX42" s="43"/>
      <c r="EZ42" s="43"/>
      <c r="FC42" s="43"/>
      <c r="FD42" s="43"/>
      <c r="FE42" s="43"/>
      <c r="FF42" s="43"/>
      <c r="FG42" s="43"/>
      <c r="FI42" s="43"/>
      <c r="FJ42" s="43"/>
      <c r="FK42" s="43"/>
      <c r="FL42" s="43"/>
      <c r="FM42" s="43"/>
      <c r="FO42" s="43"/>
      <c r="FP42" s="43"/>
      <c r="FQ42" s="43"/>
      <c r="FR42" s="43"/>
      <c r="FS42" s="43"/>
      <c r="FU42" s="43"/>
      <c r="FV42" s="43"/>
      <c r="FW42" s="43"/>
      <c r="FX42" s="43"/>
      <c r="FY42" s="43"/>
      <c r="GA42" s="43"/>
      <c r="GB42" s="43"/>
      <c r="GC42" s="43"/>
      <c r="GD42" s="43"/>
      <c r="GE42" s="43"/>
      <c r="GG42" s="43"/>
      <c r="GH42" s="43"/>
      <c r="GI42" s="43"/>
      <c r="GJ42" s="43"/>
      <c r="GK42" s="43"/>
      <c r="GM42" s="77"/>
      <c r="GO42" s="43"/>
      <c r="GP42" s="43"/>
      <c r="GQ42" s="43"/>
      <c r="GR42" s="43"/>
      <c r="GS42" s="43"/>
      <c r="GT42" s="25"/>
      <c r="GU42" s="43"/>
      <c r="GV42" s="43"/>
      <c r="GW42" s="43"/>
      <c r="GX42" s="43"/>
      <c r="GY42" s="43"/>
      <c r="GZ42" s="25"/>
      <c r="HA42" s="43"/>
      <c r="HB42" s="43"/>
      <c r="HC42" s="43"/>
      <c r="HD42" s="43"/>
      <c r="HE42" s="43"/>
      <c r="HF42" s="25"/>
      <c r="HG42" s="43"/>
      <c r="HH42" s="43"/>
      <c r="HI42" s="43"/>
      <c r="HJ42" s="43"/>
      <c r="HK42" s="43"/>
      <c r="HL42" s="25"/>
      <c r="HM42" s="43"/>
      <c r="HN42" s="43"/>
      <c r="HO42" s="43"/>
      <c r="HP42" s="43"/>
      <c r="HQ42" s="43"/>
      <c r="HR42" s="25"/>
      <c r="HS42" s="43"/>
      <c r="HT42" s="43"/>
      <c r="HU42" s="43"/>
      <c r="HV42" s="43"/>
      <c r="HW42" s="43"/>
      <c r="HX42" s="25"/>
      <c r="HY42" s="77"/>
    </row>
    <row r="43" spans="1:233" ht="21.75" customHeight="1">
      <c r="A43" s="189">
        <f>--SUBTOTAL(2,CN$13:CN43)</f>
        <v>30</v>
      </c>
      <c r="B43" s="638" t="str">
        <f>IF(FILIACIÓN!B40="","",UPPER(FILIACIÓN!B40))</f>
        <v/>
      </c>
      <c r="C43" s="639"/>
      <c r="D43" s="640"/>
      <c r="E43" s="446" t="str">
        <f t="shared" si="3"/>
        <v/>
      </c>
      <c r="F43" s="161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294"/>
      <c r="V43" s="295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3"/>
      <c r="BX43" s="180">
        <f t="shared" si="4"/>
        <v>0</v>
      </c>
      <c r="BY43" s="181">
        <f t="shared" si="5"/>
        <v>0</v>
      </c>
      <c r="BZ43" s="179">
        <f t="shared" si="0"/>
        <v>0</v>
      </c>
      <c r="CA43" s="186">
        <f t="shared" si="1"/>
        <v>0</v>
      </c>
      <c r="CB43" s="186">
        <f t="shared" si="6"/>
        <v>0</v>
      </c>
      <c r="CC43" s="456" t="str">
        <f>FILIACIÓN!Y40</f>
        <v/>
      </c>
      <c r="CD43" s="443" t="str">
        <f t="shared" si="2"/>
        <v/>
      </c>
      <c r="CE43" s="78"/>
      <c r="CF43" s="436"/>
      <c r="CG43" s="437"/>
      <c r="CH43" s="437"/>
      <c r="CI43" s="437"/>
      <c r="CJ43" s="437"/>
      <c r="CK43" s="43"/>
      <c r="CL43" s="43"/>
      <c r="CM43" s="43" t="str">
        <f>IF(FILIACIÓN!Z40="MOSTRAR","1","")</f>
        <v/>
      </c>
      <c r="CN43" s="43">
        <v>30</v>
      </c>
      <c r="CO43" s="43"/>
      <c r="CP43" s="43"/>
      <c r="CQ43" s="43"/>
      <c r="CR43" s="43"/>
      <c r="CS43" s="43"/>
      <c r="CU43" s="43"/>
      <c r="CV43" s="43"/>
      <c r="CW43" s="43"/>
      <c r="CX43" s="43"/>
      <c r="CY43" s="43"/>
      <c r="DA43" s="43"/>
      <c r="DB43" s="43"/>
      <c r="DC43" s="43"/>
      <c r="DD43" s="43"/>
      <c r="DE43" s="43"/>
      <c r="DG43" s="43"/>
      <c r="DH43" s="43"/>
      <c r="DI43" s="43"/>
      <c r="DJ43" s="43"/>
      <c r="DK43" s="43"/>
      <c r="DP43" s="43"/>
      <c r="DQ43" s="43"/>
      <c r="DR43" s="43"/>
      <c r="DS43" s="43"/>
      <c r="DT43" s="43"/>
      <c r="DV43" s="43"/>
      <c r="DW43" s="43"/>
      <c r="DX43" s="43"/>
      <c r="DY43" s="43"/>
      <c r="DZ43" s="43"/>
      <c r="EB43" s="43"/>
      <c r="EC43" s="43"/>
      <c r="ED43" s="43"/>
      <c r="EE43" s="43"/>
      <c r="EF43" s="43"/>
      <c r="EH43" s="43"/>
      <c r="EI43" s="43"/>
      <c r="EJ43" s="43"/>
      <c r="EK43" s="43"/>
      <c r="EL43" s="43"/>
      <c r="EN43" s="43"/>
      <c r="EO43" s="43"/>
      <c r="EP43" s="43"/>
      <c r="EQ43" s="43"/>
      <c r="ER43" s="43"/>
      <c r="ET43" s="43"/>
      <c r="EU43" s="43"/>
      <c r="EV43" s="43"/>
      <c r="EW43" s="43"/>
      <c r="EX43" s="43"/>
      <c r="EZ43" s="43"/>
      <c r="FC43" s="43"/>
      <c r="FD43" s="43"/>
      <c r="FE43" s="43"/>
      <c r="FF43" s="43"/>
      <c r="FG43" s="43"/>
      <c r="FI43" s="43"/>
      <c r="FJ43" s="43"/>
      <c r="FK43" s="43"/>
      <c r="FL43" s="43"/>
      <c r="FM43" s="43"/>
      <c r="FO43" s="43"/>
      <c r="FP43" s="43"/>
      <c r="FQ43" s="43"/>
      <c r="FR43" s="43"/>
      <c r="FS43" s="43"/>
      <c r="FU43" s="43"/>
      <c r="FV43" s="43"/>
      <c r="FW43" s="43"/>
      <c r="FX43" s="43"/>
      <c r="FY43" s="43"/>
      <c r="GA43" s="43"/>
      <c r="GB43" s="43"/>
      <c r="GC43" s="43"/>
      <c r="GD43" s="43"/>
      <c r="GE43" s="43"/>
      <c r="GG43" s="43"/>
      <c r="GH43" s="43"/>
      <c r="GI43" s="43"/>
      <c r="GJ43" s="43"/>
      <c r="GK43" s="43"/>
      <c r="GM43" s="77"/>
      <c r="GO43" s="43"/>
      <c r="GP43" s="43"/>
      <c r="GQ43" s="43"/>
      <c r="GR43" s="43"/>
      <c r="GS43" s="43"/>
      <c r="GT43" s="25"/>
      <c r="GU43" s="43"/>
      <c r="GV43" s="43"/>
      <c r="GW43" s="43"/>
      <c r="GX43" s="43"/>
      <c r="GY43" s="43"/>
      <c r="GZ43" s="25"/>
      <c r="HA43" s="43"/>
      <c r="HB43" s="43"/>
      <c r="HC43" s="43"/>
      <c r="HD43" s="43"/>
      <c r="HE43" s="43"/>
      <c r="HF43" s="25"/>
      <c r="HG43" s="43"/>
      <c r="HH43" s="43"/>
      <c r="HI43" s="43"/>
      <c r="HJ43" s="43"/>
      <c r="HK43" s="43"/>
      <c r="HL43" s="25"/>
      <c r="HM43" s="43"/>
      <c r="HN43" s="43"/>
      <c r="HO43" s="43"/>
      <c r="HP43" s="43"/>
      <c r="HQ43" s="43"/>
      <c r="HR43" s="25"/>
      <c r="HS43" s="43"/>
      <c r="HT43" s="43"/>
      <c r="HU43" s="43"/>
      <c r="HV43" s="43"/>
      <c r="HW43" s="43"/>
      <c r="HX43" s="25"/>
      <c r="HY43" s="77"/>
    </row>
    <row r="44" spans="1:233" ht="21.75" hidden="1" customHeight="1">
      <c r="A44" s="189">
        <f>--SUBTOTAL(2,CN$13:CN44)</f>
        <v>31</v>
      </c>
      <c r="B44" s="638" t="str">
        <f>IF(FILIACIÓN!B41="","",UPPER(FILIACIÓN!B41))</f>
        <v/>
      </c>
      <c r="C44" s="639"/>
      <c r="D44" s="640"/>
      <c r="E44" s="446" t="str">
        <f t="shared" si="3"/>
        <v/>
      </c>
      <c r="F44" s="161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294"/>
      <c r="V44" s="295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3"/>
      <c r="BX44" s="180">
        <f t="shared" si="4"/>
        <v>0</v>
      </c>
      <c r="BY44" s="181">
        <f t="shared" si="5"/>
        <v>0</v>
      </c>
      <c r="BZ44" s="179">
        <f t="shared" si="0"/>
        <v>0</v>
      </c>
      <c r="CA44" s="186">
        <f t="shared" si="1"/>
        <v>0</v>
      </c>
      <c r="CB44" s="186">
        <f t="shared" si="6"/>
        <v>0</v>
      </c>
      <c r="CC44" s="456" t="str">
        <f>FILIACIÓN!Y41</f>
        <v/>
      </c>
      <c r="CD44" s="443" t="str">
        <f t="shared" si="2"/>
        <v/>
      </c>
      <c r="CE44" s="78"/>
      <c r="CF44" s="436"/>
      <c r="CG44" s="437"/>
      <c r="CH44" s="437"/>
      <c r="CI44" s="437"/>
      <c r="CJ44" s="437"/>
      <c r="CK44" s="43"/>
      <c r="CL44" s="43"/>
      <c r="CM44" s="43" t="str">
        <f>IF(FILIACIÓN!Z41="MOSTRAR","1","")</f>
        <v/>
      </c>
      <c r="CN44" s="43">
        <v>31</v>
      </c>
      <c r="CO44" s="43"/>
      <c r="CP44" s="43"/>
      <c r="CQ44" s="43"/>
      <c r="CR44" s="43"/>
      <c r="CS44" s="43"/>
      <c r="CU44" s="43"/>
      <c r="CV44" s="43"/>
      <c r="CW44" s="43"/>
      <c r="CX44" s="43"/>
      <c r="CY44" s="43"/>
      <c r="DA44" s="43"/>
      <c r="DB44" s="43"/>
      <c r="DC44" s="43"/>
      <c r="DD44" s="43"/>
      <c r="DE44" s="43"/>
      <c r="DG44" s="43"/>
      <c r="DH44" s="43"/>
      <c r="DI44" s="43"/>
      <c r="DJ44" s="43"/>
      <c r="DK44" s="43"/>
      <c r="DP44" s="43"/>
      <c r="DQ44" s="43"/>
      <c r="DR44" s="43"/>
      <c r="DS44" s="43"/>
      <c r="DT44" s="43"/>
      <c r="DV44" s="43"/>
      <c r="DW44" s="43"/>
      <c r="DX44" s="43"/>
      <c r="DY44" s="43"/>
      <c r="DZ44" s="43"/>
      <c r="EB44" s="43"/>
      <c r="EC44" s="43"/>
      <c r="ED44" s="43"/>
      <c r="EE44" s="43"/>
      <c r="EF44" s="43"/>
      <c r="EH44" s="43"/>
      <c r="EI44" s="43"/>
      <c r="EJ44" s="43"/>
      <c r="EK44" s="43"/>
      <c r="EL44" s="43"/>
      <c r="EN44" s="43"/>
      <c r="EO44" s="43"/>
      <c r="EP44" s="43"/>
      <c r="EQ44" s="43"/>
      <c r="ER44" s="43"/>
      <c r="ET44" s="43"/>
      <c r="EU44" s="43"/>
      <c r="EV44" s="43"/>
      <c r="EW44" s="43"/>
      <c r="EX44" s="43"/>
      <c r="EZ44" s="43"/>
      <c r="FC44" s="43"/>
      <c r="FD44" s="43"/>
      <c r="FE44" s="43"/>
      <c r="FF44" s="43"/>
      <c r="FG44" s="43"/>
      <c r="FI44" s="43"/>
      <c r="FJ44" s="43"/>
      <c r="FK44" s="43"/>
      <c r="FL44" s="43"/>
      <c r="FM44" s="43"/>
      <c r="FO44" s="43"/>
      <c r="FP44" s="43"/>
      <c r="FQ44" s="43"/>
      <c r="FR44" s="43"/>
      <c r="FS44" s="43"/>
      <c r="FU44" s="43"/>
      <c r="FV44" s="43"/>
      <c r="FW44" s="43"/>
      <c r="FX44" s="43"/>
      <c r="FY44" s="43"/>
      <c r="GA44" s="43"/>
      <c r="GB44" s="43"/>
      <c r="GC44" s="43"/>
      <c r="GD44" s="43"/>
      <c r="GE44" s="43"/>
      <c r="GG44" s="43"/>
      <c r="GH44" s="43"/>
      <c r="GI44" s="43"/>
      <c r="GJ44" s="43"/>
      <c r="GK44" s="43"/>
      <c r="GM44" s="77"/>
      <c r="GO44" s="43"/>
      <c r="GP44" s="43"/>
      <c r="GQ44" s="43"/>
      <c r="GR44" s="43"/>
      <c r="GS44" s="43"/>
      <c r="GT44" s="25"/>
      <c r="GU44" s="43"/>
      <c r="GV44" s="43"/>
      <c r="GW44" s="43"/>
      <c r="GX44" s="43"/>
      <c r="GY44" s="43"/>
      <c r="GZ44" s="25"/>
      <c r="HA44" s="43"/>
      <c r="HB44" s="43"/>
      <c r="HC44" s="43"/>
      <c r="HD44" s="43"/>
      <c r="HE44" s="43"/>
      <c r="HF44" s="25"/>
      <c r="HG44" s="43"/>
      <c r="HH44" s="43"/>
      <c r="HI44" s="43"/>
      <c r="HJ44" s="43"/>
      <c r="HK44" s="43"/>
      <c r="HL44" s="25"/>
      <c r="HM44" s="43"/>
      <c r="HN44" s="43"/>
      <c r="HO44" s="43"/>
      <c r="HP44" s="43"/>
      <c r="HQ44" s="43"/>
      <c r="HR44" s="25"/>
      <c r="HS44" s="43"/>
      <c r="HT44" s="43"/>
      <c r="HU44" s="43"/>
      <c r="HV44" s="43"/>
      <c r="HW44" s="43"/>
      <c r="HX44" s="25"/>
      <c r="HY44" s="77"/>
    </row>
    <row r="45" spans="1:233" ht="21.75" hidden="1" customHeight="1">
      <c r="A45" s="189">
        <f>--SUBTOTAL(2,CN$13:CN45)</f>
        <v>32</v>
      </c>
      <c r="B45" s="638" t="str">
        <f>IF(FILIACIÓN!B42="","",UPPER(FILIACIÓN!B42))</f>
        <v/>
      </c>
      <c r="C45" s="639"/>
      <c r="D45" s="640"/>
      <c r="E45" s="446" t="str">
        <f t="shared" si="3"/>
        <v/>
      </c>
      <c r="F45" s="161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294"/>
      <c r="V45" s="295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3"/>
      <c r="BX45" s="180">
        <f t="shared" si="4"/>
        <v>0</v>
      </c>
      <c r="BY45" s="181">
        <f t="shared" si="5"/>
        <v>0</v>
      </c>
      <c r="BZ45" s="179">
        <f t="shared" si="0"/>
        <v>0</v>
      </c>
      <c r="CA45" s="186">
        <f t="shared" si="1"/>
        <v>0</v>
      </c>
      <c r="CB45" s="186">
        <f t="shared" si="6"/>
        <v>0</v>
      </c>
      <c r="CC45" s="456" t="str">
        <f>FILIACIÓN!Y42</f>
        <v/>
      </c>
      <c r="CD45" s="443" t="str">
        <f t="shared" si="2"/>
        <v/>
      </c>
      <c r="CE45" s="78"/>
      <c r="CF45" s="436"/>
      <c r="CG45" s="437"/>
      <c r="CH45" s="437"/>
      <c r="CI45" s="437"/>
      <c r="CJ45" s="437"/>
      <c r="CK45" s="43"/>
      <c r="CL45" s="43"/>
      <c r="CM45" s="43" t="str">
        <f>IF(FILIACIÓN!Z42="MOSTRAR","1","")</f>
        <v/>
      </c>
      <c r="CN45" s="43">
        <v>32</v>
      </c>
      <c r="CO45" s="43"/>
      <c r="CP45" s="43"/>
      <c r="CQ45" s="43"/>
      <c r="CR45" s="43"/>
      <c r="CS45" s="43"/>
      <c r="CU45" s="43"/>
      <c r="CV45" s="43"/>
      <c r="CW45" s="43"/>
      <c r="CX45" s="43"/>
      <c r="CY45" s="43"/>
      <c r="DA45" s="43"/>
      <c r="DB45" s="43"/>
      <c r="DC45" s="43"/>
      <c r="DD45" s="43"/>
      <c r="DE45" s="43"/>
      <c r="DG45" s="43"/>
      <c r="DH45" s="43"/>
      <c r="DI45" s="43"/>
      <c r="DJ45" s="43"/>
      <c r="DK45" s="43"/>
      <c r="DP45" s="43"/>
      <c r="DQ45" s="43"/>
      <c r="DR45" s="43"/>
      <c r="DS45" s="43"/>
      <c r="DT45" s="43"/>
      <c r="DV45" s="43"/>
      <c r="DW45" s="43"/>
      <c r="DX45" s="43"/>
      <c r="DY45" s="43"/>
      <c r="DZ45" s="43"/>
      <c r="EB45" s="43"/>
      <c r="EC45" s="43"/>
      <c r="ED45" s="43"/>
      <c r="EE45" s="43"/>
      <c r="EF45" s="43"/>
      <c r="EH45" s="43"/>
      <c r="EI45" s="43"/>
      <c r="EJ45" s="43"/>
      <c r="EK45" s="43"/>
      <c r="EL45" s="43"/>
      <c r="EN45" s="43"/>
      <c r="EO45" s="43"/>
      <c r="EP45" s="43"/>
      <c r="EQ45" s="43"/>
      <c r="ER45" s="43"/>
      <c r="ET45" s="43"/>
      <c r="EU45" s="43"/>
      <c r="EV45" s="43"/>
      <c r="EW45" s="43"/>
      <c r="EX45" s="43"/>
      <c r="EZ45" s="43"/>
      <c r="FC45" s="43"/>
      <c r="FD45" s="43"/>
      <c r="FE45" s="43"/>
      <c r="FF45" s="43"/>
      <c r="FG45" s="43"/>
      <c r="FI45" s="43"/>
      <c r="FJ45" s="43"/>
      <c r="FK45" s="43"/>
      <c r="FL45" s="43"/>
      <c r="FM45" s="43"/>
      <c r="FO45" s="43"/>
      <c r="FP45" s="43"/>
      <c r="FQ45" s="43"/>
      <c r="FR45" s="43"/>
      <c r="FS45" s="43"/>
      <c r="FU45" s="43"/>
      <c r="FV45" s="43"/>
      <c r="FW45" s="43"/>
      <c r="FX45" s="43"/>
      <c r="FY45" s="43"/>
      <c r="GA45" s="43"/>
      <c r="GB45" s="43"/>
      <c r="GC45" s="43"/>
      <c r="GD45" s="43"/>
      <c r="GE45" s="43"/>
      <c r="GG45" s="43"/>
      <c r="GH45" s="43"/>
      <c r="GI45" s="43"/>
      <c r="GJ45" s="43"/>
      <c r="GK45" s="43"/>
      <c r="GM45" s="77"/>
      <c r="GO45" s="43"/>
      <c r="GP45" s="43"/>
      <c r="GQ45" s="43"/>
      <c r="GR45" s="43"/>
      <c r="GS45" s="43"/>
      <c r="GT45" s="25"/>
      <c r="GU45" s="43"/>
      <c r="GV45" s="43"/>
      <c r="GW45" s="43"/>
      <c r="GX45" s="43"/>
      <c r="GY45" s="43"/>
      <c r="GZ45" s="25"/>
      <c r="HA45" s="43"/>
      <c r="HB45" s="43"/>
      <c r="HC45" s="43"/>
      <c r="HD45" s="43"/>
      <c r="HE45" s="43"/>
      <c r="HF45" s="25"/>
      <c r="HG45" s="43"/>
      <c r="HH45" s="43"/>
      <c r="HI45" s="43"/>
      <c r="HJ45" s="43"/>
      <c r="HK45" s="43"/>
      <c r="HL45" s="25"/>
      <c r="HM45" s="43"/>
      <c r="HN45" s="43"/>
      <c r="HO45" s="43"/>
      <c r="HP45" s="43"/>
      <c r="HQ45" s="43"/>
      <c r="HR45" s="25"/>
      <c r="HS45" s="43"/>
      <c r="HT45" s="43"/>
      <c r="HU45" s="43"/>
      <c r="HV45" s="43"/>
      <c r="HW45" s="43"/>
      <c r="HX45" s="25"/>
      <c r="HY45" s="77"/>
    </row>
    <row r="46" spans="1:233" ht="21.75" hidden="1" customHeight="1">
      <c r="A46" s="189">
        <f>--SUBTOTAL(2,CN$13:CN46)</f>
        <v>33</v>
      </c>
      <c r="B46" s="638" t="str">
        <f>IF(FILIACIÓN!B43="","",UPPER(FILIACIÓN!B43))</f>
        <v/>
      </c>
      <c r="C46" s="639"/>
      <c r="D46" s="640"/>
      <c r="E46" s="446" t="str">
        <f t="shared" si="3"/>
        <v/>
      </c>
      <c r="F46" s="161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294"/>
      <c r="V46" s="295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3"/>
      <c r="BX46" s="180">
        <f t="shared" si="4"/>
        <v>0</v>
      </c>
      <c r="BY46" s="181">
        <f t="shared" si="5"/>
        <v>0</v>
      </c>
      <c r="BZ46" s="179">
        <f t="shared" si="0"/>
        <v>0</v>
      </c>
      <c r="CA46" s="186">
        <f t="shared" si="1"/>
        <v>0</v>
      </c>
      <c r="CB46" s="186">
        <f t="shared" si="6"/>
        <v>0</v>
      </c>
      <c r="CC46" s="456" t="str">
        <f>FILIACIÓN!Y43</f>
        <v/>
      </c>
      <c r="CD46" s="443" t="str">
        <f t="shared" si="2"/>
        <v/>
      </c>
      <c r="CE46" s="78"/>
      <c r="CF46" s="436"/>
      <c r="CG46" s="437"/>
      <c r="CH46" s="437"/>
      <c r="CI46" s="437"/>
      <c r="CJ46" s="437"/>
      <c r="CK46" s="43"/>
      <c r="CL46" s="43"/>
      <c r="CM46" s="43" t="str">
        <f>IF(FILIACIÓN!Z43="MOSTRAR","1","")</f>
        <v/>
      </c>
      <c r="CN46" s="43">
        <v>33</v>
      </c>
      <c r="CO46" s="43"/>
      <c r="CP46" s="43"/>
      <c r="CQ46" s="43"/>
      <c r="CR46" s="43"/>
      <c r="CS46" s="43"/>
      <c r="CU46" s="43"/>
      <c r="CV46" s="43"/>
      <c r="CW46" s="43"/>
      <c r="CX46" s="43"/>
      <c r="CY46" s="43"/>
      <c r="DA46" s="43"/>
      <c r="DB46" s="43"/>
      <c r="DC46" s="43"/>
      <c r="DD46" s="43"/>
      <c r="DE46" s="43"/>
      <c r="DG46" s="43"/>
      <c r="DH46" s="43"/>
      <c r="DI46" s="43"/>
      <c r="DJ46" s="43"/>
      <c r="DK46" s="43"/>
      <c r="DP46" s="43"/>
      <c r="DQ46" s="43"/>
      <c r="DR46" s="43"/>
      <c r="DS46" s="43"/>
      <c r="DT46" s="43"/>
      <c r="DV46" s="43"/>
      <c r="DW46" s="43"/>
      <c r="DX46" s="43"/>
      <c r="DY46" s="43"/>
      <c r="DZ46" s="43"/>
      <c r="EB46" s="43"/>
      <c r="EC46" s="43"/>
      <c r="ED46" s="43"/>
      <c r="EE46" s="43"/>
      <c r="EF46" s="43"/>
      <c r="EH46" s="43"/>
      <c r="EI46" s="43"/>
      <c r="EJ46" s="43"/>
      <c r="EK46" s="43"/>
      <c r="EL46" s="43"/>
      <c r="EN46" s="43"/>
      <c r="EO46" s="43"/>
      <c r="EP46" s="43"/>
      <c r="EQ46" s="43"/>
      <c r="ER46" s="43"/>
      <c r="ET46" s="43"/>
      <c r="EU46" s="43"/>
      <c r="EV46" s="43"/>
      <c r="EW46" s="43"/>
      <c r="EX46" s="43"/>
      <c r="EZ46" s="43"/>
      <c r="FC46" s="43"/>
      <c r="FD46" s="43"/>
      <c r="FE46" s="43"/>
      <c r="FF46" s="43"/>
      <c r="FG46" s="43"/>
      <c r="FI46" s="43"/>
      <c r="FJ46" s="43"/>
      <c r="FK46" s="43"/>
      <c r="FL46" s="43"/>
      <c r="FM46" s="43"/>
      <c r="FO46" s="43"/>
      <c r="FP46" s="43"/>
      <c r="FQ46" s="43"/>
      <c r="FR46" s="43"/>
      <c r="FS46" s="43"/>
      <c r="FU46" s="43"/>
      <c r="FV46" s="43"/>
      <c r="FW46" s="43"/>
      <c r="FX46" s="43"/>
      <c r="FY46" s="43"/>
      <c r="GA46" s="43"/>
      <c r="GB46" s="43"/>
      <c r="GC46" s="43"/>
      <c r="GD46" s="43"/>
      <c r="GE46" s="43"/>
      <c r="GG46" s="43"/>
      <c r="GH46" s="43"/>
      <c r="GI46" s="43"/>
      <c r="GJ46" s="43"/>
      <c r="GK46" s="43"/>
      <c r="GM46" s="77"/>
      <c r="GO46" s="43"/>
      <c r="GP46" s="43"/>
      <c r="GQ46" s="43"/>
      <c r="GR46" s="43"/>
      <c r="GS46" s="43"/>
      <c r="GT46" s="25"/>
      <c r="GU46" s="43"/>
      <c r="GV46" s="43"/>
      <c r="GW46" s="43"/>
      <c r="GX46" s="43"/>
      <c r="GY46" s="43"/>
      <c r="GZ46" s="25"/>
      <c r="HA46" s="43"/>
      <c r="HB46" s="43"/>
      <c r="HC46" s="43"/>
      <c r="HD46" s="43"/>
      <c r="HE46" s="43"/>
      <c r="HF46" s="25"/>
      <c r="HG46" s="43"/>
      <c r="HH46" s="43"/>
      <c r="HI46" s="43"/>
      <c r="HJ46" s="43"/>
      <c r="HK46" s="43"/>
      <c r="HL46" s="25"/>
      <c r="HM46" s="43"/>
      <c r="HN46" s="43"/>
      <c r="HO46" s="43"/>
      <c r="HP46" s="43"/>
      <c r="HQ46" s="43"/>
      <c r="HR46" s="25"/>
      <c r="HS46" s="43"/>
      <c r="HT46" s="43"/>
      <c r="HU46" s="43"/>
      <c r="HV46" s="43"/>
      <c r="HW46" s="43"/>
      <c r="HX46" s="25"/>
      <c r="HY46" s="77"/>
    </row>
    <row r="47" spans="1:233" ht="21.75" hidden="1" customHeight="1">
      <c r="A47" s="189">
        <f>--SUBTOTAL(2,CN$13:CN47)</f>
        <v>34</v>
      </c>
      <c r="B47" s="638" t="str">
        <f>IF(FILIACIÓN!B44="","",UPPER(FILIACIÓN!B44))</f>
        <v/>
      </c>
      <c r="C47" s="639"/>
      <c r="D47" s="640"/>
      <c r="E47" s="446" t="str">
        <f t="shared" si="3"/>
        <v/>
      </c>
      <c r="F47" s="161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294"/>
      <c r="V47" s="295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3"/>
      <c r="BX47" s="180">
        <f t="shared" si="4"/>
        <v>0</v>
      </c>
      <c r="BY47" s="181">
        <f t="shared" si="5"/>
        <v>0</v>
      </c>
      <c r="BZ47" s="179">
        <f t="shared" si="0"/>
        <v>0</v>
      </c>
      <c r="CA47" s="186">
        <f t="shared" si="1"/>
        <v>0</v>
      </c>
      <c r="CB47" s="186">
        <f t="shared" si="6"/>
        <v>0</v>
      </c>
      <c r="CC47" s="456" t="str">
        <f>FILIACIÓN!Y44</f>
        <v/>
      </c>
      <c r="CD47" s="443" t="str">
        <f t="shared" si="2"/>
        <v/>
      </c>
      <c r="CE47" s="78"/>
      <c r="CF47" s="436"/>
      <c r="CG47" s="437"/>
      <c r="CH47" s="437"/>
      <c r="CI47" s="437"/>
      <c r="CJ47" s="437"/>
      <c r="CK47" s="43"/>
      <c r="CL47" s="43"/>
      <c r="CM47" s="43" t="str">
        <f>IF(FILIACIÓN!Z44="MOSTRAR","1","")</f>
        <v/>
      </c>
      <c r="CN47" s="43">
        <v>34</v>
      </c>
      <c r="CO47" s="43"/>
      <c r="CP47" s="43"/>
      <c r="CQ47" s="43"/>
      <c r="CR47" s="43"/>
      <c r="CS47" s="43"/>
      <c r="CU47" s="43"/>
      <c r="CV47" s="43"/>
      <c r="CW47" s="43"/>
      <c r="CX47" s="43"/>
      <c r="CY47" s="43"/>
      <c r="DA47" s="43"/>
      <c r="DB47" s="43"/>
      <c r="DC47" s="43"/>
      <c r="DD47" s="43"/>
      <c r="DE47" s="43"/>
      <c r="DG47" s="43"/>
      <c r="DH47" s="43"/>
      <c r="DI47" s="43"/>
      <c r="DJ47" s="43"/>
      <c r="DK47" s="43"/>
      <c r="DP47" s="43"/>
      <c r="DQ47" s="43"/>
      <c r="DR47" s="43"/>
      <c r="DS47" s="43"/>
      <c r="DT47" s="43"/>
      <c r="DV47" s="43"/>
      <c r="DW47" s="43"/>
      <c r="DX47" s="43"/>
      <c r="DY47" s="43"/>
      <c r="DZ47" s="43"/>
      <c r="EB47" s="43"/>
      <c r="EC47" s="43"/>
      <c r="ED47" s="43"/>
      <c r="EE47" s="43"/>
      <c r="EF47" s="43"/>
      <c r="EH47" s="43"/>
      <c r="EI47" s="43"/>
      <c r="EJ47" s="43"/>
      <c r="EK47" s="43"/>
      <c r="EL47" s="43"/>
      <c r="EN47" s="43"/>
      <c r="EO47" s="43"/>
      <c r="EP47" s="43"/>
      <c r="EQ47" s="43"/>
      <c r="ER47" s="43"/>
      <c r="ET47" s="43"/>
      <c r="EU47" s="43"/>
      <c r="EV47" s="43"/>
      <c r="EW47" s="43"/>
      <c r="EX47" s="43"/>
      <c r="EZ47" s="43"/>
      <c r="FC47" s="43"/>
      <c r="FD47" s="43"/>
      <c r="FE47" s="43"/>
      <c r="FF47" s="43"/>
      <c r="FG47" s="43"/>
      <c r="FI47" s="43"/>
      <c r="FJ47" s="43"/>
      <c r="FK47" s="43"/>
      <c r="FL47" s="43"/>
      <c r="FM47" s="43"/>
      <c r="FO47" s="43"/>
      <c r="FP47" s="43"/>
      <c r="FQ47" s="43"/>
      <c r="FR47" s="43"/>
      <c r="FS47" s="43"/>
      <c r="FU47" s="43"/>
      <c r="FV47" s="43"/>
      <c r="FW47" s="43"/>
      <c r="FX47" s="43"/>
      <c r="FY47" s="43"/>
      <c r="GA47" s="43"/>
      <c r="GB47" s="43"/>
      <c r="GC47" s="43"/>
      <c r="GD47" s="43"/>
      <c r="GE47" s="43"/>
      <c r="GG47" s="43"/>
      <c r="GH47" s="43"/>
      <c r="GI47" s="43"/>
      <c r="GJ47" s="43"/>
      <c r="GK47" s="43"/>
      <c r="GM47" s="77"/>
      <c r="GO47" s="43"/>
      <c r="GP47" s="43"/>
      <c r="GQ47" s="43"/>
      <c r="GR47" s="43"/>
      <c r="GS47" s="43"/>
      <c r="GT47" s="25"/>
      <c r="GU47" s="43"/>
      <c r="GV47" s="43"/>
      <c r="GW47" s="43"/>
      <c r="GX47" s="43"/>
      <c r="GY47" s="43"/>
      <c r="GZ47" s="25"/>
      <c r="HA47" s="43"/>
      <c r="HB47" s="43"/>
      <c r="HC47" s="43"/>
      <c r="HD47" s="43"/>
      <c r="HE47" s="43"/>
      <c r="HF47" s="25"/>
      <c r="HG47" s="43"/>
      <c r="HH47" s="43"/>
      <c r="HI47" s="43"/>
      <c r="HJ47" s="43"/>
      <c r="HK47" s="43"/>
      <c r="HL47" s="25"/>
      <c r="HM47" s="43"/>
      <c r="HN47" s="43"/>
      <c r="HO47" s="43"/>
      <c r="HP47" s="43"/>
      <c r="HQ47" s="43"/>
      <c r="HR47" s="25"/>
      <c r="HS47" s="43"/>
      <c r="HT47" s="43"/>
      <c r="HU47" s="43"/>
      <c r="HV47" s="43"/>
      <c r="HW47" s="43"/>
      <c r="HX47" s="25"/>
      <c r="HY47" s="77"/>
    </row>
    <row r="48" spans="1:233" ht="21.75" hidden="1" customHeight="1">
      <c r="A48" s="189">
        <f>--SUBTOTAL(2,CN$13:CN48)</f>
        <v>35</v>
      </c>
      <c r="B48" s="638" t="str">
        <f>IF(FILIACIÓN!B45="","",UPPER(FILIACIÓN!B45))</f>
        <v/>
      </c>
      <c r="C48" s="639"/>
      <c r="D48" s="640"/>
      <c r="E48" s="446" t="str">
        <f t="shared" si="3"/>
        <v/>
      </c>
      <c r="F48" s="161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294"/>
      <c r="V48" s="295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3"/>
      <c r="BX48" s="180">
        <f t="shared" si="4"/>
        <v>0</v>
      </c>
      <c r="BY48" s="181">
        <f t="shared" si="5"/>
        <v>0</v>
      </c>
      <c r="BZ48" s="179">
        <f t="shared" si="0"/>
        <v>0</v>
      </c>
      <c r="CA48" s="186">
        <f t="shared" si="1"/>
        <v>0</v>
      </c>
      <c r="CB48" s="186">
        <f t="shared" si="6"/>
        <v>0</v>
      </c>
      <c r="CC48" s="456" t="str">
        <f>FILIACIÓN!Y45</f>
        <v/>
      </c>
      <c r="CD48" s="443" t="str">
        <f t="shared" si="2"/>
        <v/>
      </c>
      <c r="CE48" s="78"/>
      <c r="CF48" s="436"/>
      <c r="CG48" s="437"/>
      <c r="CH48" s="437"/>
      <c r="CI48" s="437"/>
      <c r="CJ48" s="437"/>
      <c r="CK48" s="43"/>
      <c r="CL48" s="43"/>
      <c r="CM48" s="43" t="str">
        <f>IF(FILIACIÓN!Z45="MOSTRAR","1","")</f>
        <v/>
      </c>
      <c r="CN48" s="43">
        <v>35</v>
      </c>
      <c r="CO48" s="43"/>
      <c r="CP48" s="43"/>
      <c r="CQ48" s="43"/>
      <c r="CR48" s="43"/>
      <c r="CS48" s="43"/>
      <c r="CU48" s="43"/>
      <c r="CV48" s="43"/>
      <c r="CW48" s="43"/>
      <c r="CX48" s="43"/>
      <c r="CY48" s="43"/>
      <c r="DA48" s="43"/>
      <c r="DB48" s="43"/>
      <c r="DC48" s="43"/>
      <c r="DD48" s="43"/>
      <c r="DE48" s="43"/>
      <c r="DG48" s="43"/>
      <c r="DH48" s="43"/>
      <c r="DI48" s="43"/>
      <c r="DJ48" s="43"/>
      <c r="DK48" s="43"/>
      <c r="DP48" s="43"/>
      <c r="DQ48" s="43"/>
      <c r="DR48" s="43"/>
      <c r="DS48" s="43"/>
      <c r="DT48" s="43"/>
      <c r="DV48" s="43"/>
      <c r="DW48" s="43"/>
      <c r="DX48" s="43"/>
      <c r="DY48" s="43"/>
      <c r="DZ48" s="43"/>
      <c r="EB48" s="43"/>
      <c r="EC48" s="43"/>
      <c r="ED48" s="43"/>
      <c r="EE48" s="43"/>
      <c r="EF48" s="43"/>
      <c r="EH48" s="43"/>
      <c r="EI48" s="43"/>
      <c r="EJ48" s="43"/>
      <c r="EK48" s="43"/>
      <c r="EL48" s="43"/>
      <c r="EN48" s="43"/>
      <c r="EO48" s="43"/>
      <c r="EP48" s="43"/>
      <c r="EQ48" s="43"/>
      <c r="ER48" s="43"/>
      <c r="ET48" s="43"/>
      <c r="EU48" s="43"/>
      <c r="EV48" s="43"/>
      <c r="EW48" s="43"/>
      <c r="EX48" s="43"/>
      <c r="EZ48" s="43"/>
      <c r="FC48" s="43"/>
      <c r="FD48" s="43"/>
      <c r="FE48" s="43"/>
      <c r="FF48" s="43"/>
      <c r="FG48" s="43"/>
      <c r="FI48" s="43"/>
      <c r="FJ48" s="43"/>
      <c r="FK48" s="43"/>
      <c r="FL48" s="43"/>
      <c r="FM48" s="43"/>
      <c r="FO48" s="43"/>
      <c r="FP48" s="43"/>
      <c r="FQ48" s="43"/>
      <c r="FR48" s="43"/>
      <c r="FS48" s="43"/>
      <c r="FU48" s="43"/>
      <c r="FV48" s="43"/>
      <c r="FW48" s="43"/>
      <c r="FX48" s="43"/>
      <c r="FY48" s="43"/>
      <c r="GA48" s="43"/>
      <c r="GB48" s="43"/>
      <c r="GC48" s="43"/>
      <c r="GD48" s="43"/>
      <c r="GE48" s="43"/>
      <c r="GG48" s="43"/>
      <c r="GH48" s="43"/>
      <c r="GI48" s="43"/>
      <c r="GJ48" s="43"/>
      <c r="GK48" s="43"/>
      <c r="GM48" s="77"/>
      <c r="GO48" s="43"/>
      <c r="GP48" s="43"/>
      <c r="GQ48" s="43"/>
      <c r="GR48" s="43"/>
      <c r="GS48" s="43"/>
      <c r="GT48" s="25"/>
      <c r="GU48" s="43"/>
      <c r="GV48" s="43"/>
      <c r="GW48" s="43"/>
      <c r="GX48" s="43"/>
      <c r="GY48" s="43"/>
      <c r="GZ48" s="25"/>
      <c r="HA48" s="43"/>
      <c r="HB48" s="43"/>
      <c r="HC48" s="43"/>
      <c r="HD48" s="43"/>
      <c r="HE48" s="43"/>
      <c r="HF48" s="25"/>
      <c r="HG48" s="43"/>
      <c r="HH48" s="43"/>
      <c r="HI48" s="43"/>
      <c r="HJ48" s="43"/>
      <c r="HK48" s="43"/>
      <c r="HL48" s="25"/>
      <c r="HM48" s="43"/>
      <c r="HN48" s="43"/>
      <c r="HO48" s="43"/>
      <c r="HP48" s="43"/>
      <c r="HQ48" s="43"/>
      <c r="HR48" s="25"/>
      <c r="HS48" s="43"/>
      <c r="HT48" s="43"/>
      <c r="HU48" s="43"/>
      <c r="HV48" s="43"/>
      <c r="HW48" s="43"/>
      <c r="HX48" s="25"/>
      <c r="HY48" s="77"/>
    </row>
    <row r="49" spans="1:233" ht="21.75" hidden="1" customHeight="1">
      <c r="A49" s="189">
        <f>--SUBTOTAL(2,CN$13:CN49)</f>
        <v>36</v>
      </c>
      <c r="B49" s="638" t="str">
        <f>IF(FILIACIÓN!B46="","",UPPER(FILIACIÓN!B46))</f>
        <v/>
      </c>
      <c r="C49" s="639"/>
      <c r="D49" s="640"/>
      <c r="E49" s="446" t="str">
        <f t="shared" si="3"/>
        <v/>
      </c>
      <c r="F49" s="161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294"/>
      <c r="V49" s="295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3"/>
      <c r="BX49" s="180">
        <f t="shared" si="4"/>
        <v>0</v>
      </c>
      <c r="BY49" s="181">
        <f t="shared" si="5"/>
        <v>0</v>
      </c>
      <c r="BZ49" s="179">
        <f t="shared" si="0"/>
        <v>0</v>
      </c>
      <c r="CA49" s="186">
        <f t="shared" si="1"/>
        <v>0</v>
      </c>
      <c r="CB49" s="186">
        <f t="shared" si="6"/>
        <v>0</v>
      </c>
      <c r="CC49" s="456" t="str">
        <f>FILIACIÓN!Y46</f>
        <v/>
      </c>
      <c r="CD49" s="443" t="str">
        <f t="shared" si="2"/>
        <v/>
      </c>
      <c r="CE49" s="78"/>
      <c r="CF49" s="436"/>
      <c r="CG49" s="437"/>
      <c r="CH49" s="437"/>
      <c r="CI49" s="437"/>
      <c r="CJ49" s="437"/>
      <c r="CK49" s="43"/>
      <c r="CL49" s="43"/>
      <c r="CM49" s="43" t="str">
        <f>IF(FILIACIÓN!Z46="MOSTRAR","1","")</f>
        <v/>
      </c>
      <c r="CN49" s="43">
        <v>36</v>
      </c>
      <c r="CO49" s="43"/>
      <c r="CP49" s="43"/>
      <c r="CQ49" s="43"/>
      <c r="CR49" s="43"/>
      <c r="CS49" s="43"/>
      <c r="CU49" s="43"/>
      <c r="CV49" s="43"/>
      <c r="CW49" s="43"/>
      <c r="CX49" s="43"/>
      <c r="CY49" s="43"/>
      <c r="DA49" s="43"/>
      <c r="DB49" s="43"/>
      <c r="DC49" s="43"/>
      <c r="DD49" s="43"/>
      <c r="DE49" s="43"/>
      <c r="DG49" s="43"/>
      <c r="DH49" s="43"/>
      <c r="DI49" s="43"/>
      <c r="DJ49" s="43"/>
      <c r="DK49" s="43"/>
      <c r="DP49" s="43"/>
      <c r="DQ49" s="43"/>
      <c r="DR49" s="43"/>
      <c r="DS49" s="43"/>
      <c r="DT49" s="43"/>
      <c r="DV49" s="43"/>
      <c r="DW49" s="43"/>
      <c r="DX49" s="43"/>
      <c r="DY49" s="43"/>
      <c r="DZ49" s="43"/>
      <c r="EB49" s="43"/>
      <c r="EC49" s="43"/>
      <c r="ED49" s="43"/>
      <c r="EE49" s="43"/>
      <c r="EF49" s="43"/>
      <c r="EH49" s="43"/>
      <c r="EI49" s="43"/>
      <c r="EJ49" s="43"/>
      <c r="EK49" s="43"/>
      <c r="EL49" s="43"/>
      <c r="EN49" s="43"/>
      <c r="EO49" s="43"/>
      <c r="EP49" s="43"/>
      <c r="EQ49" s="43"/>
      <c r="ER49" s="43"/>
      <c r="ET49" s="43"/>
      <c r="EU49" s="43"/>
      <c r="EV49" s="43"/>
      <c r="EW49" s="43"/>
      <c r="EX49" s="43"/>
      <c r="EZ49" s="43"/>
      <c r="FC49" s="43"/>
      <c r="FD49" s="43"/>
      <c r="FE49" s="43"/>
      <c r="FF49" s="43"/>
      <c r="FG49" s="43"/>
      <c r="FI49" s="43"/>
      <c r="FJ49" s="43"/>
      <c r="FK49" s="43"/>
      <c r="FL49" s="43"/>
      <c r="FM49" s="43"/>
      <c r="FO49" s="43"/>
      <c r="FP49" s="43"/>
      <c r="FQ49" s="43"/>
      <c r="FR49" s="43"/>
      <c r="FS49" s="43"/>
      <c r="FU49" s="43"/>
      <c r="FV49" s="43"/>
      <c r="FW49" s="43"/>
      <c r="FX49" s="43"/>
      <c r="FY49" s="43"/>
      <c r="GA49" s="43"/>
      <c r="GB49" s="43"/>
      <c r="GC49" s="43"/>
      <c r="GD49" s="43"/>
      <c r="GE49" s="43"/>
      <c r="GG49" s="43"/>
      <c r="GH49" s="43"/>
      <c r="GI49" s="43"/>
      <c r="GJ49" s="43"/>
      <c r="GK49" s="43"/>
      <c r="GM49" s="77"/>
      <c r="GO49" s="43"/>
      <c r="GP49" s="43"/>
      <c r="GQ49" s="43"/>
      <c r="GR49" s="43"/>
      <c r="GS49" s="43"/>
      <c r="GT49" s="25"/>
      <c r="GU49" s="43"/>
      <c r="GV49" s="43"/>
      <c r="GW49" s="43"/>
      <c r="GX49" s="43"/>
      <c r="GY49" s="43"/>
      <c r="GZ49" s="25"/>
      <c r="HA49" s="43"/>
      <c r="HB49" s="43"/>
      <c r="HC49" s="43"/>
      <c r="HD49" s="43"/>
      <c r="HE49" s="43"/>
      <c r="HF49" s="25"/>
      <c r="HG49" s="43"/>
      <c r="HH49" s="43"/>
      <c r="HI49" s="43"/>
      <c r="HJ49" s="43"/>
      <c r="HK49" s="43"/>
      <c r="HL49" s="25"/>
      <c r="HM49" s="43"/>
      <c r="HN49" s="43"/>
      <c r="HO49" s="43"/>
      <c r="HP49" s="43"/>
      <c r="HQ49" s="43"/>
      <c r="HR49" s="25"/>
      <c r="HS49" s="43"/>
      <c r="HT49" s="43"/>
      <c r="HU49" s="43"/>
      <c r="HV49" s="43"/>
      <c r="HW49" s="43"/>
      <c r="HX49" s="25"/>
      <c r="HY49" s="77"/>
    </row>
    <row r="50" spans="1:233" ht="21.75" hidden="1" customHeight="1">
      <c r="A50" s="189">
        <f>--SUBTOTAL(2,CN$13:CN50)</f>
        <v>37</v>
      </c>
      <c r="B50" s="638" t="str">
        <f>IF(FILIACIÓN!B47="","",UPPER(FILIACIÓN!B47))</f>
        <v/>
      </c>
      <c r="C50" s="639"/>
      <c r="D50" s="640"/>
      <c r="E50" s="446" t="str">
        <f t="shared" si="3"/>
        <v/>
      </c>
      <c r="F50" s="161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294"/>
      <c r="V50" s="295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3"/>
      <c r="BX50" s="180">
        <f t="shared" si="4"/>
        <v>0</v>
      </c>
      <c r="BY50" s="181">
        <f t="shared" si="5"/>
        <v>0</v>
      </c>
      <c r="BZ50" s="179">
        <f t="shared" si="0"/>
        <v>0</v>
      </c>
      <c r="CA50" s="186">
        <f t="shared" si="1"/>
        <v>0</v>
      </c>
      <c r="CB50" s="186">
        <f t="shared" si="6"/>
        <v>0</v>
      </c>
      <c r="CC50" s="456" t="str">
        <f>FILIACIÓN!Y47</f>
        <v/>
      </c>
      <c r="CD50" s="443" t="str">
        <f t="shared" si="2"/>
        <v/>
      </c>
      <c r="CE50" s="78"/>
      <c r="CF50" s="436"/>
      <c r="CG50" s="437"/>
      <c r="CH50" s="437"/>
      <c r="CI50" s="437"/>
      <c r="CJ50" s="437"/>
      <c r="CK50" s="43"/>
      <c r="CL50" s="43"/>
      <c r="CM50" s="43" t="str">
        <f>IF(FILIACIÓN!Z47="MOSTRAR","1","")</f>
        <v/>
      </c>
      <c r="CN50" s="43">
        <v>37</v>
      </c>
      <c r="CO50" s="43"/>
      <c r="CP50" s="43"/>
      <c r="CQ50" s="43"/>
      <c r="CR50" s="43"/>
      <c r="CS50" s="43"/>
      <c r="CU50" s="43"/>
      <c r="CV50" s="43"/>
      <c r="CW50" s="43"/>
      <c r="CX50" s="43"/>
      <c r="CY50" s="43"/>
      <c r="DA50" s="43"/>
      <c r="DB50" s="43"/>
      <c r="DC50" s="43"/>
      <c r="DD50" s="43"/>
      <c r="DE50" s="43"/>
      <c r="DG50" s="43"/>
      <c r="DH50" s="43"/>
      <c r="DI50" s="43"/>
      <c r="DJ50" s="43"/>
      <c r="DK50" s="43"/>
      <c r="DP50" s="43"/>
      <c r="DQ50" s="43"/>
      <c r="DR50" s="43"/>
      <c r="DS50" s="43"/>
      <c r="DT50" s="43"/>
      <c r="DV50" s="43"/>
      <c r="DW50" s="43"/>
      <c r="DX50" s="43"/>
      <c r="DY50" s="43"/>
      <c r="DZ50" s="43"/>
      <c r="EB50" s="43"/>
      <c r="EC50" s="43"/>
      <c r="ED50" s="43"/>
      <c r="EE50" s="43"/>
      <c r="EF50" s="43"/>
      <c r="EH50" s="43"/>
      <c r="EI50" s="43"/>
      <c r="EJ50" s="43"/>
      <c r="EK50" s="43"/>
      <c r="EL50" s="43"/>
      <c r="EN50" s="43"/>
      <c r="EO50" s="43"/>
      <c r="EP50" s="43"/>
      <c r="EQ50" s="43"/>
      <c r="ER50" s="43"/>
      <c r="ET50" s="43"/>
      <c r="EU50" s="43"/>
      <c r="EV50" s="43"/>
      <c r="EW50" s="43"/>
      <c r="EX50" s="43"/>
      <c r="EZ50" s="43"/>
      <c r="FC50" s="43"/>
      <c r="FD50" s="43"/>
      <c r="FE50" s="43"/>
      <c r="FF50" s="43"/>
      <c r="FG50" s="43"/>
      <c r="FI50" s="43"/>
      <c r="FJ50" s="43"/>
      <c r="FK50" s="43"/>
      <c r="FL50" s="43"/>
      <c r="FM50" s="43"/>
      <c r="FO50" s="43"/>
      <c r="FP50" s="43"/>
      <c r="FQ50" s="43"/>
      <c r="FR50" s="43"/>
      <c r="FS50" s="43"/>
      <c r="FU50" s="43"/>
      <c r="FV50" s="43"/>
      <c r="FW50" s="43"/>
      <c r="FX50" s="43"/>
      <c r="FY50" s="43"/>
      <c r="GA50" s="43"/>
      <c r="GB50" s="43"/>
      <c r="GC50" s="43"/>
      <c r="GD50" s="43"/>
      <c r="GE50" s="43"/>
      <c r="GG50" s="43"/>
      <c r="GH50" s="43"/>
      <c r="GI50" s="43"/>
      <c r="GJ50" s="43"/>
      <c r="GK50" s="43"/>
      <c r="GM50" s="77"/>
      <c r="GO50" s="43"/>
      <c r="GP50" s="43"/>
      <c r="GQ50" s="43"/>
      <c r="GR50" s="43"/>
      <c r="GS50" s="43"/>
      <c r="GT50" s="25"/>
      <c r="GU50" s="43"/>
      <c r="GV50" s="43"/>
      <c r="GW50" s="43"/>
      <c r="GX50" s="43"/>
      <c r="GY50" s="43"/>
      <c r="GZ50" s="25"/>
      <c r="HA50" s="43"/>
      <c r="HB50" s="43"/>
      <c r="HC50" s="43"/>
      <c r="HD50" s="43"/>
      <c r="HE50" s="43"/>
      <c r="HF50" s="25"/>
      <c r="HG50" s="43"/>
      <c r="HH50" s="43"/>
      <c r="HI50" s="43"/>
      <c r="HJ50" s="43"/>
      <c r="HK50" s="43"/>
      <c r="HL50" s="25"/>
      <c r="HM50" s="43"/>
      <c r="HN50" s="43"/>
      <c r="HO50" s="43"/>
      <c r="HP50" s="43"/>
      <c r="HQ50" s="43"/>
      <c r="HR50" s="25"/>
      <c r="HS50" s="43"/>
      <c r="HT50" s="43"/>
      <c r="HU50" s="43"/>
      <c r="HV50" s="43"/>
      <c r="HW50" s="43"/>
      <c r="HX50" s="25"/>
      <c r="HY50" s="77"/>
    </row>
    <row r="51" spans="1:233" ht="21.75" hidden="1" customHeight="1">
      <c r="A51" s="189">
        <f>--SUBTOTAL(2,CN$13:CN51)</f>
        <v>38</v>
      </c>
      <c r="B51" s="638" t="str">
        <f>IF(FILIACIÓN!B48="","",UPPER(FILIACIÓN!B48))</f>
        <v/>
      </c>
      <c r="C51" s="639"/>
      <c r="D51" s="640"/>
      <c r="E51" s="446" t="str">
        <f t="shared" si="3"/>
        <v/>
      </c>
      <c r="F51" s="161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294"/>
      <c r="V51" s="295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3"/>
      <c r="BX51" s="180">
        <f t="shared" si="4"/>
        <v>0</v>
      </c>
      <c r="BY51" s="181">
        <f t="shared" si="5"/>
        <v>0</v>
      </c>
      <c r="BZ51" s="179">
        <f t="shared" si="0"/>
        <v>0</v>
      </c>
      <c r="CA51" s="186">
        <f t="shared" si="1"/>
        <v>0</v>
      </c>
      <c r="CB51" s="186">
        <f t="shared" si="6"/>
        <v>0</v>
      </c>
      <c r="CC51" s="456" t="str">
        <f>FILIACIÓN!Y48</f>
        <v/>
      </c>
      <c r="CD51" s="443" t="str">
        <f t="shared" si="2"/>
        <v/>
      </c>
      <c r="CE51" s="78"/>
      <c r="CF51" s="436"/>
      <c r="CG51" s="437"/>
      <c r="CH51" s="437"/>
      <c r="CI51" s="437"/>
      <c r="CJ51" s="437"/>
      <c r="CK51" s="43"/>
      <c r="CL51" s="43"/>
      <c r="CM51" s="43" t="str">
        <f>IF(FILIACIÓN!Z48="MOSTRAR","1","")</f>
        <v/>
      </c>
      <c r="CN51" s="43">
        <v>38</v>
      </c>
      <c r="CO51" s="43"/>
      <c r="CP51" s="43"/>
      <c r="CQ51" s="43"/>
      <c r="CR51" s="43"/>
      <c r="CS51" s="43"/>
      <c r="CU51" s="43"/>
      <c r="CV51" s="43"/>
      <c r="CW51" s="43"/>
      <c r="CX51" s="43"/>
      <c r="CY51" s="43"/>
      <c r="DA51" s="43"/>
      <c r="DB51" s="43"/>
      <c r="DC51" s="43"/>
      <c r="DD51" s="43"/>
      <c r="DE51" s="43"/>
      <c r="DG51" s="43"/>
      <c r="DH51" s="43"/>
      <c r="DI51" s="43"/>
      <c r="DJ51" s="43"/>
      <c r="DK51" s="43"/>
      <c r="DP51" s="43"/>
      <c r="DQ51" s="43"/>
      <c r="DR51" s="43"/>
      <c r="DS51" s="43"/>
      <c r="DT51" s="43"/>
      <c r="DV51" s="43"/>
      <c r="DW51" s="43"/>
      <c r="DX51" s="43"/>
      <c r="DY51" s="43"/>
      <c r="DZ51" s="43"/>
      <c r="EB51" s="43"/>
      <c r="EC51" s="43"/>
      <c r="ED51" s="43"/>
      <c r="EE51" s="43"/>
      <c r="EF51" s="43"/>
      <c r="EH51" s="43"/>
      <c r="EI51" s="43"/>
      <c r="EJ51" s="43"/>
      <c r="EK51" s="43"/>
      <c r="EL51" s="43"/>
      <c r="EN51" s="43"/>
      <c r="EO51" s="43"/>
      <c r="EP51" s="43"/>
      <c r="EQ51" s="43"/>
      <c r="ER51" s="43"/>
      <c r="ET51" s="43"/>
      <c r="EU51" s="43"/>
      <c r="EV51" s="43"/>
      <c r="EW51" s="43"/>
      <c r="EX51" s="43"/>
      <c r="EZ51" s="43"/>
      <c r="FC51" s="43"/>
      <c r="FD51" s="43"/>
      <c r="FE51" s="43"/>
      <c r="FF51" s="43"/>
      <c r="FG51" s="43"/>
      <c r="FI51" s="43"/>
      <c r="FJ51" s="43"/>
      <c r="FK51" s="43"/>
      <c r="FL51" s="43"/>
      <c r="FM51" s="43"/>
      <c r="FO51" s="43"/>
      <c r="FP51" s="43"/>
      <c r="FQ51" s="43"/>
      <c r="FR51" s="43"/>
      <c r="FS51" s="43"/>
      <c r="FU51" s="43"/>
      <c r="FV51" s="43"/>
      <c r="FW51" s="43"/>
      <c r="FX51" s="43"/>
      <c r="FY51" s="43"/>
      <c r="GA51" s="43"/>
      <c r="GB51" s="43"/>
      <c r="GC51" s="43"/>
      <c r="GD51" s="43"/>
      <c r="GE51" s="43"/>
      <c r="GG51" s="43"/>
      <c r="GH51" s="43"/>
      <c r="GI51" s="43"/>
      <c r="GJ51" s="43"/>
      <c r="GK51" s="43"/>
      <c r="GM51" s="77"/>
      <c r="GO51" s="43"/>
      <c r="GP51" s="43"/>
      <c r="GQ51" s="43"/>
      <c r="GR51" s="43"/>
      <c r="GS51" s="43"/>
      <c r="GT51" s="25"/>
      <c r="GU51" s="43"/>
      <c r="GV51" s="43"/>
      <c r="GW51" s="43"/>
      <c r="GX51" s="43"/>
      <c r="GY51" s="43"/>
      <c r="GZ51" s="25"/>
      <c r="HA51" s="43"/>
      <c r="HB51" s="43"/>
      <c r="HC51" s="43"/>
      <c r="HD51" s="43"/>
      <c r="HE51" s="43"/>
      <c r="HF51" s="25"/>
      <c r="HG51" s="43"/>
      <c r="HH51" s="43"/>
      <c r="HI51" s="43"/>
      <c r="HJ51" s="43"/>
      <c r="HK51" s="43"/>
      <c r="HL51" s="25"/>
      <c r="HM51" s="43"/>
      <c r="HN51" s="43"/>
      <c r="HO51" s="43"/>
      <c r="HP51" s="43"/>
      <c r="HQ51" s="43"/>
      <c r="HR51" s="25"/>
      <c r="HS51" s="43"/>
      <c r="HT51" s="43"/>
      <c r="HU51" s="43"/>
      <c r="HV51" s="43"/>
      <c r="HW51" s="43"/>
      <c r="HX51" s="25"/>
      <c r="HY51" s="77"/>
    </row>
    <row r="52" spans="1:233" ht="21.75" hidden="1" customHeight="1">
      <c r="A52" s="189">
        <f>--SUBTOTAL(2,CN$13:CN52)</f>
        <v>39</v>
      </c>
      <c r="B52" s="638" t="str">
        <f>IF(FILIACIÓN!B49="","",UPPER(FILIACIÓN!B49))</f>
        <v/>
      </c>
      <c r="C52" s="639"/>
      <c r="D52" s="640"/>
      <c r="E52" s="446" t="str">
        <f t="shared" si="3"/>
        <v/>
      </c>
      <c r="F52" s="161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294"/>
      <c r="V52" s="295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3"/>
      <c r="BX52" s="180">
        <f t="shared" si="4"/>
        <v>0</v>
      </c>
      <c r="BY52" s="181">
        <f t="shared" si="5"/>
        <v>0</v>
      </c>
      <c r="BZ52" s="179">
        <f t="shared" si="0"/>
        <v>0</v>
      </c>
      <c r="CA52" s="186">
        <f t="shared" si="1"/>
        <v>0</v>
      </c>
      <c r="CB52" s="186">
        <f t="shared" si="6"/>
        <v>0</v>
      </c>
      <c r="CC52" s="456" t="str">
        <f>FILIACIÓN!Y49</f>
        <v/>
      </c>
      <c r="CD52" s="443" t="str">
        <f t="shared" si="2"/>
        <v/>
      </c>
      <c r="CE52" s="78"/>
      <c r="CF52" s="436"/>
      <c r="CG52" s="437"/>
      <c r="CH52" s="437"/>
      <c r="CI52" s="437"/>
      <c r="CJ52" s="437"/>
      <c r="CK52" s="43"/>
      <c r="CL52" s="43"/>
      <c r="CM52" s="43" t="str">
        <f>IF(FILIACIÓN!Z49="MOSTRAR","1","")</f>
        <v/>
      </c>
      <c r="CN52" s="43">
        <v>39</v>
      </c>
      <c r="CO52" s="43"/>
      <c r="CP52" s="43"/>
      <c r="CQ52" s="43"/>
      <c r="CR52" s="43"/>
      <c r="CS52" s="43"/>
      <c r="CU52" s="43"/>
      <c r="CV52" s="43"/>
      <c r="CW52" s="43"/>
      <c r="CX52" s="43"/>
      <c r="CY52" s="43"/>
      <c r="DA52" s="43"/>
      <c r="DB52" s="43"/>
      <c r="DC52" s="43"/>
      <c r="DD52" s="43"/>
      <c r="DE52" s="43"/>
      <c r="DG52" s="43"/>
      <c r="DH52" s="43"/>
      <c r="DI52" s="43"/>
      <c r="DJ52" s="43"/>
      <c r="DK52" s="43"/>
      <c r="DP52" s="43"/>
      <c r="DQ52" s="43"/>
      <c r="DR52" s="43"/>
      <c r="DS52" s="43"/>
      <c r="DT52" s="43"/>
      <c r="DV52" s="43"/>
      <c r="DW52" s="43"/>
      <c r="DX52" s="43"/>
      <c r="DY52" s="43"/>
      <c r="DZ52" s="43"/>
      <c r="EB52" s="43"/>
      <c r="EC52" s="43"/>
      <c r="ED52" s="43"/>
      <c r="EE52" s="43"/>
      <c r="EF52" s="43"/>
      <c r="EH52" s="43"/>
      <c r="EI52" s="43"/>
      <c r="EJ52" s="43"/>
      <c r="EK52" s="43"/>
      <c r="EL52" s="43"/>
      <c r="EN52" s="43"/>
      <c r="EO52" s="43"/>
      <c r="EP52" s="43"/>
      <c r="EQ52" s="43"/>
      <c r="ER52" s="43"/>
      <c r="ET52" s="43"/>
      <c r="EU52" s="43"/>
      <c r="EV52" s="43"/>
      <c r="EW52" s="43"/>
      <c r="EX52" s="43"/>
      <c r="EZ52" s="43"/>
      <c r="FC52" s="43"/>
      <c r="FD52" s="43"/>
      <c r="FE52" s="43"/>
      <c r="FF52" s="43"/>
      <c r="FG52" s="43"/>
      <c r="FI52" s="43"/>
      <c r="FJ52" s="43"/>
      <c r="FK52" s="43"/>
      <c r="FL52" s="43"/>
      <c r="FM52" s="43"/>
      <c r="FO52" s="43"/>
      <c r="FP52" s="43"/>
      <c r="FQ52" s="43"/>
      <c r="FR52" s="43"/>
      <c r="FS52" s="43"/>
      <c r="FU52" s="43"/>
      <c r="FV52" s="43"/>
      <c r="FW52" s="43"/>
      <c r="FX52" s="43"/>
      <c r="FY52" s="43"/>
      <c r="GA52" s="43"/>
      <c r="GB52" s="43"/>
      <c r="GC52" s="43"/>
      <c r="GD52" s="43"/>
      <c r="GE52" s="43"/>
      <c r="GG52" s="43"/>
      <c r="GH52" s="43"/>
      <c r="GI52" s="43"/>
      <c r="GJ52" s="43"/>
      <c r="GK52" s="43"/>
      <c r="GM52" s="77"/>
      <c r="GO52" s="43"/>
      <c r="GP52" s="43"/>
      <c r="GQ52" s="43"/>
      <c r="GR52" s="43"/>
      <c r="GS52" s="43"/>
      <c r="GT52" s="25"/>
      <c r="GU52" s="43"/>
      <c r="GV52" s="43"/>
      <c r="GW52" s="43"/>
      <c r="GX52" s="43"/>
      <c r="GY52" s="43"/>
      <c r="GZ52" s="25"/>
      <c r="HA52" s="43"/>
      <c r="HB52" s="43"/>
      <c r="HC52" s="43"/>
      <c r="HD52" s="43"/>
      <c r="HE52" s="43"/>
      <c r="HF52" s="25"/>
      <c r="HG52" s="43"/>
      <c r="HH52" s="43"/>
      <c r="HI52" s="43"/>
      <c r="HJ52" s="43"/>
      <c r="HK52" s="43"/>
      <c r="HL52" s="25"/>
      <c r="HM52" s="43"/>
      <c r="HN52" s="43"/>
      <c r="HO52" s="43"/>
      <c r="HP52" s="43"/>
      <c r="HQ52" s="43"/>
      <c r="HR52" s="25"/>
      <c r="HS52" s="43"/>
      <c r="HT52" s="43"/>
      <c r="HU52" s="43"/>
      <c r="HV52" s="43"/>
      <c r="HW52" s="43"/>
      <c r="HX52" s="25"/>
      <c r="HY52" s="77"/>
    </row>
    <row r="53" spans="1:233" ht="21.75" hidden="1" customHeight="1">
      <c r="A53" s="189">
        <f>--SUBTOTAL(2,CN$13:CN53)</f>
        <v>40</v>
      </c>
      <c r="B53" s="638" t="str">
        <f>IF(FILIACIÓN!B50="","",UPPER(FILIACIÓN!B50))</f>
        <v/>
      </c>
      <c r="C53" s="639"/>
      <c r="D53" s="640"/>
      <c r="E53" s="446" t="str">
        <f t="shared" si="3"/>
        <v/>
      </c>
      <c r="F53" s="161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294"/>
      <c r="V53" s="295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3"/>
      <c r="BX53" s="180">
        <f t="shared" si="4"/>
        <v>0</v>
      </c>
      <c r="BY53" s="181">
        <f t="shared" si="5"/>
        <v>0</v>
      </c>
      <c r="BZ53" s="179">
        <f t="shared" si="0"/>
        <v>0</v>
      </c>
      <c r="CA53" s="186">
        <f t="shared" si="1"/>
        <v>0</v>
      </c>
      <c r="CB53" s="186">
        <f t="shared" si="6"/>
        <v>0</v>
      </c>
      <c r="CC53" s="456" t="str">
        <f>FILIACIÓN!Y50</f>
        <v/>
      </c>
      <c r="CD53" s="443" t="str">
        <f t="shared" si="2"/>
        <v/>
      </c>
      <c r="CE53" s="78"/>
      <c r="CF53" s="436"/>
      <c r="CG53" s="437"/>
      <c r="CH53" s="437"/>
      <c r="CI53" s="437"/>
      <c r="CJ53" s="437"/>
      <c r="CK53" s="43"/>
      <c r="CL53" s="43"/>
      <c r="CM53" s="43" t="str">
        <f>IF(FILIACIÓN!Z50="MOSTRAR","1","")</f>
        <v/>
      </c>
      <c r="CN53" s="43">
        <v>40</v>
      </c>
      <c r="CO53" s="43"/>
      <c r="CP53" s="43"/>
      <c r="CQ53" s="43"/>
      <c r="CR53" s="43"/>
      <c r="CS53" s="43"/>
      <c r="CU53" s="43"/>
      <c r="CV53" s="43"/>
      <c r="CW53" s="43"/>
      <c r="CX53" s="43"/>
      <c r="CY53" s="43"/>
      <c r="DA53" s="43"/>
      <c r="DB53" s="43"/>
      <c r="DC53" s="43"/>
      <c r="DD53" s="43"/>
      <c r="DE53" s="43"/>
      <c r="DG53" s="43"/>
      <c r="DH53" s="43"/>
      <c r="DI53" s="43"/>
      <c r="DJ53" s="43"/>
      <c r="DK53" s="43"/>
      <c r="DP53" s="43"/>
      <c r="DQ53" s="43"/>
      <c r="DR53" s="43"/>
      <c r="DS53" s="43"/>
      <c r="DT53" s="43"/>
      <c r="DV53" s="43"/>
      <c r="DW53" s="43"/>
      <c r="DX53" s="43"/>
      <c r="DY53" s="43"/>
      <c r="DZ53" s="43"/>
      <c r="EB53" s="43"/>
      <c r="EC53" s="43"/>
      <c r="ED53" s="43"/>
      <c r="EE53" s="43"/>
      <c r="EF53" s="43"/>
      <c r="EH53" s="43"/>
      <c r="EI53" s="43"/>
      <c r="EJ53" s="43"/>
      <c r="EK53" s="43"/>
      <c r="EL53" s="43"/>
      <c r="EN53" s="43"/>
      <c r="EO53" s="43"/>
      <c r="EP53" s="43"/>
      <c r="EQ53" s="43"/>
      <c r="ER53" s="43"/>
      <c r="ET53" s="43"/>
      <c r="EU53" s="43"/>
      <c r="EV53" s="43"/>
      <c r="EW53" s="43"/>
      <c r="EX53" s="43"/>
      <c r="EZ53" s="43"/>
      <c r="FC53" s="43"/>
      <c r="FD53" s="43"/>
      <c r="FE53" s="43"/>
      <c r="FF53" s="43"/>
      <c r="FG53" s="43"/>
      <c r="FI53" s="43"/>
      <c r="FJ53" s="43"/>
      <c r="FK53" s="43"/>
      <c r="FL53" s="43"/>
      <c r="FM53" s="43"/>
      <c r="FO53" s="43"/>
      <c r="FP53" s="43"/>
      <c r="FQ53" s="43"/>
      <c r="FR53" s="43"/>
      <c r="FS53" s="43"/>
      <c r="FU53" s="43"/>
      <c r="FV53" s="43"/>
      <c r="FW53" s="43"/>
      <c r="FX53" s="43"/>
      <c r="FY53" s="43"/>
      <c r="GA53" s="43"/>
      <c r="GB53" s="43"/>
      <c r="GC53" s="43"/>
      <c r="GD53" s="43"/>
      <c r="GE53" s="43"/>
      <c r="GG53" s="43"/>
      <c r="GH53" s="43"/>
      <c r="GI53" s="43"/>
      <c r="GJ53" s="43"/>
      <c r="GK53" s="43"/>
      <c r="GM53" s="77"/>
      <c r="GO53" s="43"/>
      <c r="GP53" s="43"/>
      <c r="GQ53" s="43"/>
      <c r="GR53" s="43"/>
      <c r="GS53" s="43"/>
      <c r="GT53" s="25"/>
      <c r="GU53" s="43"/>
      <c r="GV53" s="43"/>
      <c r="GW53" s="43"/>
      <c r="GX53" s="43"/>
      <c r="GY53" s="43"/>
      <c r="GZ53" s="25"/>
      <c r="HA53" s="43"/>
      <c r="HB53" s="43"/>
      <c r="HC53" s="43"/>
      <c r="HD53" s="43"/>
      <c r="HE53" s="43"/>
      <c r="HF53" s="25"/>
      <c r="HG53" s="43"/>
      <c r="HH53" s="43"/>
      <c r="HI53" s="43"/>
      <c r="HJ53" s="43"/>
      <c r="HK53" s="43"/>
      <c r="HL53" s="25"/>
      <c r="HM53" s="43"/>
      <c r="HN53" s="43"/>
      <c r="HO53" s="43"/>
      <c r="HP53" s="43"/>
      <c r="HQ53" s="43"/>
      <c r="HR53" s="25"/>
      <c r="HS53" s="43"/>
      <c r="HT53" s="43"/>
      <c r="HU53" s="43"/>
      <c r="HV53" s="43"/>
      <c r="HW53" s="43"/>
      <c r="HX53" s="25"/>
      <c r="HY53" s="77"/>
    </row>
    <row r="54" spans="1:233" ht="21.75" hidden="1" customHeight="1">
      <c r="A54" s="189">
        <f>--SUBTOTAL(2,CN$13:CN54)</f>
        <v>41</v>
      </c>
      <c r="B54" s="638" t="str">
        <f>IF(FILIACIÓN!B51="","",UPPER(FILIACIÓN!B51))</f>
        <v/>
      </c>
      <c r="C54" s="639"/>
      <c r="D54" s="640"/>
      <c r="E54" s="446" t="str">
        <f t="shared" si="3"/>
        <v/>
      </c>
      <c r="F54" s="161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294"/>
      <c r="V54" s="295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3"/>
      <c r="BX54" s="180">
        <f t="shared" si="4"/>
        <v>0</v>
      </c>
      <c r="BY54" s="181">
        <f t="shared" si="5"/>
        <v>0</v>
      </c>
      <c r="BZ54" s="179">
        <f t="shared" si="0"/>
        <v>0</v>
      </c>
      <c r="CA54" s="186">
        <f t="shared" si="1"/>
        <v>0</v>
      </c>
      <c r="CB54" s="186">
        <f t="shared" si="6"/>
        <v>0</v>
      </c>
      <c r="CC54" s="456" t="str">
        <f>FILIACIÓN!Y51</f>
        <v/>
      </c>
      <c r="CD54" s="443" t="str">
        <f t="shared" si="2"/>
        <v/>
      </c>
      <c r="CE54" s="78"/>
      <c r="CF54" s="436"/>
      <c r="CG54" s="437"/>
      <c r="CH54" s="437"/>
      <c r="CI54" s="437"/>
      <c r="CJ54" s="437"/>
      <c r="CK54" s="43"/>
      <c r="CL54" s="43"/>
      <c r="CM54" s="43" t="str">
        <f>IF(FILIACIÓN!Z51="MOSTRAR","1","")</f>
        <v/>
      </c>
      <c r="CN54" s="43">
        <v>41</v>
      </c>
      <c r="CO54" s="43"/>
      <c r="CP54" s="43"/>
      <c r="CQ54" s="43"/>
      <c r="CR54" s="43"/>
      <c r="CS54" s="43"/>
      <c r="CU54" s="43"/>
      <c r="CV54" s="43"/>
      <c r="CW54" s="43"/>
      <c r="CX54" s="43"/>
      <c r="CY54" s="43"/>
      <c r="DA54" s="43"/>
      <c r="DB54" s="43"/>
      <c r="DC54" s="43"/>
      <c r="DD54" s="43"/>
      <c r="DE54" s="43"/>
      <c r="DG54" s="43"/>
      <c r="DH54" s="43"/>
      <c r="DI54" s="43"/>
      <c r="DJ54" s="43"/>
      <c r="DK54" s="43"/>
      <c r="DP54" s="43"/>
      <c r="DQ54" s="43"/>
      <c r="DR54" s="43"/>
      <c r="DS54" s="43"/>
      <c r="DT54" s="43"/>
      <c r="DV54" s="43"/>
      <c r="DW54" s="43"/>
      <c r="DX54" s="43"/>
      <c r="DY54" s="43"/>
      <c r="DZ54" s="43"/>
      <c r="EB54" s="43"/>
      <c r="EC54" s="43"/>
      <c r="ED54" s="43"/>
      <c r="EE54" s="43"/>
      <c r="EF54" s="43"/>
      <c r="EH54" s="43"/>
      <c r="EI54" s="43"/>
      <c r="EJ54" s="43"/>
      <c r="EK54" s="43"/>
      <c r="EL54" s="43"/>
      <c r="EN54" s="43"/>
      <c r="EO54" s="43"/>
      <c r="EP54" s="43"/>
      <c r="EQ54" s="43"/>
      <c r="ER54" s="43"/>
      <c r="ET54" s="43"/>
      <c r="EU54" s="43"/>
      <c r="EV54" s="43"/>
      <c r="EW54" s="43"/>
      <c r="EX54" s="43"/>
      <c r="EZ54" s="43"/>
      <c r="FC54" s="43"/>
      <c r="FD54" s="43"/>
      <c r="FE54" s="43"/>
      <c r="FF54" s="43"/>
      <c r="FG54" s="43"/>
      <c r="FI54" s="43"/>
      <c r="FJ54" s="43"/>
      <c r="FK54" s="43"/>
      <c r="FL54" s="43"/>
      <c r="FM54" s="43"/>
      <c r="FO54" s="43"/>
      <c r="FP54" s="43"/>
      <c r="FQ54" s="43"/>
      <c r="FR54" s="43"/>
      <c r="FS54" s="43"/>
      <c r="FU54" s="43"/>
      <c r="FV54" s="43"/>
      <c r="FW54" s="43"/>
      <c r="FX54" s="43"/>
      <c r="FY54" s="43"/>
      <c r="GA54" s="43"/>
      <c r="GB54" s="43"/>
      <c r="GC54" s="43"/>
      <c r="GD54" s="43"/>
      <c r="GE54" s="43"/>
      <c r="GG54" s="43"/>
      <c r="GH54" s="43"/>
      <c r="GI54" s="43"/>
      <c r="GJ54" s="43"/>
      <c r="GK54" s="43"/>
      <c r="GM54" s="77"/>
      <c r="GO54" s="43"/>
      <c r="GP54" s="43"/>
      <c r="GQ54" s="43"/>
      <c r="GR54" s="43"/>
      <c r="GS54" s="43"/>
      <c r="GT54" s="25"/>
      <c r="GU54" s="43"/>
      <c r="GV54" s="43"/>
      <c r="GW54" s="43"/>
      <c r="GX54" s="43"/>
      <c r="GY54" s="43"/>
      <c r="GZ54" s="25"/>
      <c r="HA54" s="43"/>
      <c r="HB54" s="43"/>
      <c r="HC54" s="43"/>
      <c r="HD54" s="43"/>
      <c r="HE54" s="43"/>
      <c r="HF54" s="25"/>
      <c r="HG54" s="43"/>
      <c r="HH54" s="43"/>
      <c r="HI54" s="43"/>
      <c r="HJ54" s="43"/>
      <c r="HK54" s="43"/>
      <c r="HL54" s="25"/>
      <c r="HM54" s="43"/>
      <c r="HN54" s="43"/>
      <c r="HO54" s="43"/>
      <c r="HP54" s="43"/>
      <c r="HQ54" s="43"/>
      <c r="HR54" s="25"/>
      <c r="HS54" s="43"/>
      <c r="HT54" s="43"/>
      <c r="HU54" s="43"/>
      <c r="HV54" s="43"/>
      <c r="HW54" s="43"/>
      <c r="HX54" s="25"/>
      <c r="HY54" s="77"/>
    </row>
    <row r="55" spans="1:233" ht="21.75" hidden="1" customHeight="1">
      <c r="A55" s="189">
        <f>--SUBTOTAL(2,CN$13:CN55)</f>
        <v>42</v>
      </c>
      <c r="B55" s="638" t="str">
        <f>IF(FILIACIÓN!B52="","",UPPER(FILIACIÓN!B52))</f>
        <v/>
      </c>
      <c r="C55" s="639"/>
      <c r="D55" s="640"/>
      <c r="E55" s="446" t="str">
        <f t="shared" si="3"/>
        <v/>
      </c>
      <c r="F55" s="161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294"/>
      <c r="V55" s="295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3"/>
      <c r="BX55" s="180">
        <f t="shared" si="4"/>
        <v>0</v>
      </c>
      <c r="BY55" s="181">
        <f t="shared" si="5"/>
        <v>0</v>
      </c>
      <c r="BZ55" s="179">
        <f t="shared" si="0"/>
        <v>0</v>
      </c>
      <c r="CA55" s="186">
        <f t="shared" si="1"/>
        <v>0</v>
      </c>
      <c r="CB55" s="186">
        <f t="shared" si="6"/>
        <v>0</v>
      </c>
      <c r="CC55" s="456" t="str">
        <f>FILIACIÓN!Y52</f>
        <v/>
      </c>
      <c r="CD55" s="443" t="str">
        <f t="shared" si="2"/>
        <v/>
      </c>
      <c r="CE55" s="78"/>
      <c r="CF55" s="436"/>
      <c r="CG55" s="437"/>
      <c r="CH55" s="437"/>
      <c r="CI55" s="437"/>
      <c r="CJ55" s="437"/>
      <c r="CK55" s="43"/>
      <c r="CL55" s="43"/>
      <c r="CM55" s="43" t="str">
        <f>IF(FILIACIÓN!Z52="MOSTRAR","1","")</f>
        <v/>
      </c>
      <c r="CN55" s="43">
        <v>42</v>
      </c>
      <c r="CO55" s="43"/>
      <c r="CP55" s="43"/>
      <c r="CQ55" s="43"/>
      <c r="CR55" s="43"/>
      <c r="CS55" s="43"/>
      <c r="CU55" s="43"/>
      <c r="CV55" s="43"/>
      <c r="CW55" s="43"/>
      <c r="CX55" s="43"/>
      <c r="CY55" s="43"/>
      <c r="DA55" s="43"/>
      <c r="DB55" s="43"/>
      <c r="DC55" s="43"/>
      <c r="DD55" s="43"/>
      <c r="DE55" s="43"/>
      <c r="DG55" s="43"/>
      <c r="DH55" s="43"/>
      <c r="DI55" s="43"/>
      <c r="DJ55" s="43"/>
      <c r="DK55" s="43"/>
      <c r="DP55" s="43"/>
      <c r="DQ55" s="43"/>
      <c r="DR55" s="43"/>
      <c r="DS55" s="43"/>
      <c r="DT55" s="43"/>
      <c r="DV55" s="43"/>
      <c r="DW55" s="43"/>
      <c r="DX55" s="43"/>
      <c r="DY55" s="43"/>
      <c r="DZ55" s="43"/>
      <c r="EB55" s="43"/>
      <c r="EC55" s="43"/>
      <c r="ED55" s="43"/>
      <c r="EE55" s="43"/>
      <c r="EF55" s="43"/>
      <c r="EH55" s="43"/>
      <c r="EI55" s="43"/>
      <c r="EJ55" s="43"/>
      <c r="EK55" s="43"/>
      <c r="EL55" s="43"/>
      <c r="EN55" s="43"/>
      <c r="EO55" s="43"/>
      <c r="EP55" s="43"/>
      <c r="EQ55" s="43"/>
      <c r="ER55" s="43"/>
      <c r="ET55" s="43"/>
      <c r="EU55" s="43"/>
      <c r="EV55" s="43"/>
      <c r="EW55" s="43"/>
      <c r="EX55" s="43"/>
      <c r="EZ55" s="43"/>
      <c r="FC55" s="43"/>
      <c r="FD55" s="43"/>
      <c r="FE55" s="43"/>
      <c r="FF55" s="43"/>
      <c r="FG55" s="43"/>
      <c r="FI55" s="43"/>
      <c r="FJ55" s="43"/>
      <c r="FK55" s="43"/>
      <c r="FL55" s="43"/>
      <c r="FM55" s="43"/>
      <c r="FO55" s="43"/>
      <c r="FP55" s="43"/>
      <c r="FQ55" s="43"/>
      <c r="FR55" s="43"/>
      <c r="FS55" s="43"/>
      <c r="FU55" s="43"/>
      <c r="FV55" s="43"/>
      <c r="FW55" s="43"/>
      <c r="FX55" s="43"/>
      <c r="FY55" s="43"/>
      <c r="GA55" s="43"/>
      <c r="GB55" s="43"/>
      <c r="GC55" s="43"/>
      <c r="GD55" s="43"/>
      <c r="GE55" s="43"/>
      <c r="GG55" s="43"/>
      <c r="GH55" s="43"/>
      <c r="GI55" s="43"/>
      <c r="GJ55" s="43"/>
      <c r="GK55" s="43"/>
      <c r="GM55" s="77"/>
      <c r="GO55" s="43"/>
      <c r="GP55" s="43"/>
      <c r="GQ55" s="43"/>
      <c r="GR55" s="43"/>
      <c r="GS55" s="43"/>
      <c r="GT55" s="25"/>
      <c r="GU55" s="43"/>
      <c r="GV55" s="43"/>
      <c r="GW55" s="43"/>
      <c r="GX55" s="43"/>
      <c r="GY55" s="43"/>
      <c r="GZ55" s="25"/>
      <c r="HA55" s="43"/>
      <c r="HB55" s="43"/>
      <c r="HC55" s="43"/>
      <c r="HD55" s="43"/>
      <c r="HE55" s="43"/>
      <c r="HF55" s="25"/>
      <c r="HG55" s="43"/>
      <c r="HH55" s="43"/>
      <c r="HI55" s="43"/>
      <c r="HJ55" s="43"/>
      <c r="HK55" s="43"/>
      <c r="HL55" s="25"/>
      <c r="HM55" s="43"/>
      <c r="HN55" s="43"/>
      <c r="HO55" s="43"/>
      <c r="HP55" s="43"/>
      <c r="HQ55" s="43"/>
      <c r="HR55" s="25"/>
      <c r="HS55" s="43"/>
      <c r="HT55" s="43"/>
      <c r="HU55" s="43"/>
      <c r="HV55" s="43"/>
      <c r="HW55" s="43"/>
      <c r="HX55" s="25"/>
      <c r="HY55" s="77"/>
    </row>
    <row r="56" spans="1:233" ht="21.75" hidden="1" customHeight="1">
      <c r="A56" s="189">
        <f>--SUBTOTAL(2,CN$13:CN56)</f>
        <v>43</v>
      </c>
      <c r="B56" s="638" t="str">
        <f>IF(FILIACIÓN!B53="","",UPPER(FILIACIÓN!B53))</f>
        <v/>
      </c>
      <c r="C56" s="639"/>
      <c r="D56" s="640"/>
      <c r="E56" s="446" t="str">
        <f t="shared" si="3"/>
        <v/>
      </c>
      <c r="F56" s="161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294"/>
      <c r="V56" s="295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3"/>
      <c r="BX56" s="180">
        <f t="shared" si="4"/>
        <v>0</v>
      </c>
      <c r="BY56" s="181">
        <f t="shared" si="5"/>
        <v>0</v>
      </c>
      <c r="BZ56" s="179">
        <f t="shared" si="0"/>
        <v>0</v>
      </c>
      <c r="CA56" s="186">
        <f t="shared" si="1"/>
        <v>0</v>
      </c>
      <c r="CB56" s="186">
        <f t="shared" si="6"/>
        <v>0</v>
      </c>
      <c r="CC56" s="456" t="str">
        <f>FILIACIÓN!Y53</f>
        <v/>
      </c>
      <c r="CD56" s="443" t="str">
        <f t="shared" si="2"/>
        <v/>
      </c>
      <c r="CE56" s="78"/>
      <c r="CF56" s="436"/>
      <c r="CG56" s="437"/>
      <c r="CH56" s="437"/>
      <c r="CI56" s="437"/>
      <c r="CJ56" s="437"/>
      <c r="CK56" s="43"/>
      <c r="CL56" s="43"/>
      <c r="CM56" s="43" t="str">
        <f>IF(FILIACIÓN!Z53="MOSTRAR","1","")</f>
        <v/>
      </c>
      <c r="CN56" s="43">
        <v>43</v>
      </c>
      <c r="CO56" s="43"/>
      <c r="CP56" s="43"/>
      <c r="CQ56" s="43"/>
      <c r="CR56" s="43"/>
      <c r="CS56" s="43"/>
      <c r="CU56" s="43"/>
      <c r="CV56" s="43"/>
      <c r="CW56" s="43"/>
      <c r="CX56" s="43"/>
      <c r="CY56" s="43"/>
      <c r="DA56" s="43"/>
      <c r="DB56" s="43"/>
      <c r="DC56" s="43"/>
      <c r="DD56" s="43"/>
      <c r="DE56" s="43"/>
      <c r="DG56" s="43"/>
      <c r="DH56" s="43"/>
      <c r="DI56" s="43"/>
      <c r="DJ56" s="43"/>
      <c r="DK56" s="43"/>
      <c r="DP56" s="43"/>
      <c r="DQ56" s="43"/>
      <c r="DR56" s="43"/>
      <c r="DS56" s="43"/>
      <c r="DT56" s="43"/>
      <c r="DV56" s="43"/>
      <c r="DW56" s="43"/>
      <c r="DX56" s="43"/>
      <c r="DY56" s="43"/>
      <c r="DZ56" s="43"/>
      <c r="EB56" s="43"/>
      <c r="EC56" s="43"/>
      <c r="ED56" s="43"/>
      <c r="EE56" s="43"/>
      <c r="EF56" s="43"/>
      <c r="EH56" s="43"/>
      <c r="EI56" s="43"/>
      <c r="EJ56" s="43"/>
      <c r="EK56" s="43"/>
      <c r="EL56" s="43"/>
      <c r="EN56" s="43"/>
      <c r="EO56" s="43"/>
      <c r="EP56" s="43"/>
      <c r="EQ56" s="43"/>
      <c r="ER56" s="43"/>
      <c r="ET56" s="43"/>
      <c r="EU56" s="43"/>
      <c r="EV56" s="43"/>
      <c r="EW56" s="43"/>
      <c r="EX56" s="43"/>
      <c r="EZ56" s="43"/>
      <c r="FC56" s="43"/>
      <c r="FD56" s="43"/>
      <c r="FE56" s="43"/>
      <c r="FF56" s="43"/>
      <c r="FG56" s="43"/>
      <c r="FI56" s="43"/>
      <c r="FJ56" s="43"/>
      <c r="FK56" s="43"/>
      <c r="FL56" s="43"/>
      <c r="FM56" s="43"/>
      <c r="FO56" s="43"/>
      <c r="FP56" s="43"/>
      <c r="FQ56" s="43"/>
      <c r="FR56" s="43"/>
      <c r="FS56" s="43"/>
      <c r="FU56" s="43"/>
      <c r="FV56" s="43"/>
      <c r="FW56" s="43"/>
      <c r="FX56" s="43"/>
      <c r="FY56" s="43"/>
      <c r="GA56" s="43"/>
      <c r="GB56" s="43"/>
      <c r="GC56" s="43"/>
      <c r="GD56" s="43"/>
      <c r="GE56" s="43"/>
      <c r="GG56" s="43"/>
      <c r="GH56" s="43"/>
      <c r="GI56" s="43"/>
      <c r="GJ56" s="43"/>
      <c r="GK56" s="43"/>
      <c r="GM56" s="77"/>
      <c r="GO56" s="43"/>
      <c r="GP56" s="43"/>
      <c r="GQ56" s="43"/>
      <c r="GR56" s="43"/>
      <c r="GS56" s="43"/>
      <c r="GT56" s="25"/>
      <c r="GU56" s="43"/>
      <c r="GV56" s="43"/>
      <c r="GW56" s="43"/>
      <c r="GX56" s="43"/>
      <c r="GY56" s="43"/>
      <c r="GZ56" s="25"/>
      <c r="HA56" s="43"/>
      <c r="HB56" s="43"/>
      <c r="HC56" s="43"/>
      <c r="HD56" s="43"/>
      <c r="HE56" s="43"/>
      <c r="HF56" s="25"/>
      <c r="HG56" s="43"/>
      <c r="HH56" s="43"/>
      <c r="HI56" s="43"/>
      <c r="HJ56" s="43"/>
      <c r="HK56" s="43"/>
      <c r="HL56" s="25"/>
      <c r="HM56" s="43"/>
      <c r="HN56" s="43"/>
      <c r="HO56" s="43"/>
      <c r="HP56" s="43"/>
      <c r="HQ56" s="43"/>
      <c r="HR56" s="25"/>
      <c r="HS56" s="43"/>
      <c r="HT56" s="43"/>
      <c r="HU56" s="43"/>
      <c r="HV56" s="43"/>
      <c r="HW56" s="43"/>
      <c r="HX56" s="25"/>
      <c r="HY56" s="77"/>
    </row>
    <row r="57" spans="1:233" ht="21.75" hidden="1" customHeight="1">
      <c r="A57" s="189">
        <f>--SUBTOTAL(2,CN$13:CN57)</f>
        <v>44</v>
      </c>
      <c r="B57" s="638" t="str">
        <f>IF(FILIACIÓN!B54="","",UPPER(FILIACIÓN!B54))</f>
        <v/>
      </c>
      <c r="C57" s="639"/>
      <c r="D57" s="640"/>
      <c r="E57" s="446" t="str">
        <f t="shared" si="3"/>
        <v/>
      </c>
      <c r="F57" s="161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294"/>
      <c r="V57" s="295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3"/>
      <c r="BX57" s="180">
        <f t="shared" ref="BX57:BX61" si="7">COUNTIF(F57:BW57,"L")</f>
        <v>0</v>
      </c>
      <c r="BY57" s="181">
        <f t="shared" ref="BY57:BY61" si="8">COUNTIF(F57:BW57,"F")</f>
        <v>0</v>
      </c>
      <c r="BZ57" s="179">
        <f t="shared" ref="BZ57:BZ61" si="9">COUNTIF(F57:BW57,"T")</f>
        <v>0</v>
      </c>
      <c r="CA57" s="186">
        <f t="shared" ref="CA57:CA61" si="10">COUNTIF(F57:BW57,"A")</f>
        <v>0</v>
      </c>
      <c r="CB57" s="186">
        <f t="shared" ref="CB57:CB61" si="11">SUM(BZ57:CA57)</f>
        <v>0</v>
      </c>
      <c r="CC57" s="456" t="str">
        <f>FILIACIÓN!Y54</f>
        <v/>
      </c>
      <c r="CD57" s="443" t="str">
        <f t="shared" ref="CD57:CD61" si="12">IFERROR(IF($CD$8="","",SUM(($B$70*BZ57)/$CD$8,($B$67*CA57)/$CD$8,($B$69*BX57)/$CD$8)),"")</f>
        <v/>
      </c>
      <c r="CE57" s="533"/>
      <c r="CF57" s="436"/>
      <c r="CG57" s="437"/>
      <c r="CH57" s="437"/>
      <c r="CI57" s="437"/>
      <c r="CJ57" s="437"/>
      <c r="CK57" s="43"/>
      <c r="CL57" s="43"/>
      <c r="CM57" s="43" t="str">
        <f>IF(FILIACIÓN!Z54="MOSTRAR","1","")</f>
        <v/>
      </c>
      <c r="CN57" s="43">
        <v>44</v>
      </c>
      <c r="CO57" s="43"/>
      <c r="CP57" s="43"/>
      <c r="CQ57" s="43"/>
      <c r="CR57" s="43"/>
      <c r="CS57" s="43"/>
      <c r="CU57" s="43"/>
      <c r="CV57" s="43"/>
      <c r="CW57" s="43"/>
      <c r="CX57" s="43"/>
      <c r="CY57" s="43"/>
      <c r="DA57" s="43"/>
      <c r="DB57" s="43"/>
      <c r="DC57" s="43"/>
      <c r="DD57" s="43"/>
      <c r="DE57" s="43"/>
      <c r="DG57" s="43"/>
      <c r="DH57" s="43"/>
      <c r="DI57" s="43"/>
      <c r="DJ57" s="43"/>
      <c r="DK57" s="43"/>
      <c r="DM57" s="532"/>
      <c r="DP57" s="43"/>
      <c r="DQ57" s="43"/>
      <c r="DR57" s="43"/>
      <c r="DS57" s="43"/>
      <c r="DT57" s="43"/>
      <c r="DV57" s="43"/>
      <c r="DW57" s="43"/>
      <c r="DX57" s="43"/>
      <c r="DY57" s="43"/>
      <c r="DZ57" s="43"/>
      <c r="EB57" s="43"/>
      <c r="EC57" s="43"/>
      <c r="ED57" s="43"/>
      <c r="EE57" s="43"/>
      <c r="EF57" s="43"/>
      <c r="EH57" s="43"/>
      <c r="EI57" s="43"/>
      <c r="EJ57" s="43"/>
      <c r="EK57" s="43"/>
      <c r="EL57" s="43"/>
      <c r="EN57" s="43"/>
      <c r="EO57" s="43"/>
      <c r="EP57" s="43"/>
      <c r="EQ57" s="43"/>
      <c r="ER57" s="43"/>
      <c r="ET57" s="43"/>
      <c r="EU57" s="43"/>
      <c r="EV57" s="43"/>
      <c r="EW57" s="43"/>
      <c r="EX57" s="43"/>
      <c r="EZ57" s="43"/>
      <c r="FC57" s="43"/>
      <c r="FD57" s="43"/>
      <c r="FE57" s="43"/>
      <c r="FF57" s="43"/>
      <c r="FG57" s="43"/>
      <c r="FI57" s="43"/>
      <c r="FJ57" s="43"/>
      <c r="FK57" s="43"/>
      <c r="FL57" s="43"/>
      <c r="FM57" s="43"/>
      <c r="FO57" s="43"/>
      <c r="FP57" s="43"/>
      <c r="FQ57" s="43"/>
      <c r="FR57" s="43"/>
      <c r="FS57" s="43"/>
      <c r="FU57" s="43"/>
      <c r="FV57" s="43"/>
      <c r="FW57" s="43"/>
      <c r="FX57" s="43"/>
      <c r="FY57" s="43"/>
      <c r="GA57" s="43"/>
      <c r="GB57" s="43"/>
      <c r="GC57" s="43"/>
      <c r="GD57" s="43"/>
      <c r="GE57" s="43"/>
      <c r="GG57" s="43"/>
      <c r="GH57" s="43"/>
      <c r="GI57" s="43"/>
      <c r="GJ57" s="43"/>
      <c r="GK57" s="43"/>
      <c r="GM57" s="532"/>
      <c r="GO57" s="43"/>
      <c r="GP57" s="43"/>
      <c r="GQ57" s="43"/>
      <c r="GR57" s="43"/>
      <c r="GS57" s="43"/>
      <c r="GT57" s="25"/>
      <c r="GU57" s="43"/>
      <c r="GV57" s="43"/>
      <c r="GW57" s="43"/>
      <c r="GX57" s="43"/>
      <c r="GY57" s="43"/>
      <c r="GZ57" s="25"/>
      <c r="HA57" s="43"/>
      <c r="HB57" s="43"/>
      <c r="HC57" s="43"/>
      <c r="HD57" s="43"/>
      <c r="HE57" s="43"/>
      <c r="HF57" s="25"/>
      <c r="HG57" s="43"/>
      <c r="HH57" s="43"/>
      <c r="HI57" s="43"/>
      <c r="HJ57" s="43"/>
      <c r="HK57" s="43"/>
      <c r="HL57" s="25"/>
      <c r="HM57" s="43"/>
      <c r="HN57" s="43"/>
      <c r="HO57" s="43"/>
      <c r="HP57" s="43"/>
      <c r="HQ57" s="43"/>
      <c r="HR57" s="25"/>
      <c r="HS57" s="43"/>
      <c r="HT57" s="43"/>
      <c r="HU57" s="43"/>
      <c r="HV57" s="43"/>
      <c r="HW57" s="43"/>
      <c r="HX57" s="25"/>
      <c r="HY57" s="532"/>
    </row>
    <row r="58" spans="1:233" ht="21.75" hidden="1" customHeight="1">
      <c r="A58" s="189">
        <f>--SUBTOTAL(2,CN$13:CN58)</f>
        <v>45</v>
      </c>
      <c r="B58" s="638" t="str">
        <f>IF(FILIACIÓN!B55="","",UPPER(FILIACIÓN!B55))</f>
        <v/>
      </c>
      <c r="C58" s="639"/>
      <c r="D58" s="640"/>
      <c r="E58" s="446" t="str">
        <f t="shared" si="3"/>
        <v/>
      </c>
      <c r="F58" s="161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294"/>
      <c r="V58" s="295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3"/>
      <c r="BX58" s="180">
        <f t="shared" si="7"/>
        <v>0</v>
      </c>
      <c r="BY58" s="181">
        <f t="shared" si="8"/>
        <v>0</v>
      </c>
      <c r="BZ58" s="179">
        <f t="shared" si="9"/>
        <v>0</v>
      </c>
      <c r="CA58" s="186">
        <f t="shared" si="10"/>
        <v>0</v>
      </c>
      <c r="CB58" s="186">
        <f t="shared" si="11"/>
        <v>0</v>
      </c>
      <c r="CC58" s="456" t="str">
        <f>FILIACIÓN!Y55</f>
        <v/>
      </c>
      <c r="CD58" s="443" t="str">
        <f t="shared" si="12"/>
        <v/>
      </c>
      <c r="CE58" s="533"/>
      <c r="CF58" s="436"/>
      <c r="CG58" s="437"/>
      <c r="CH58" s="437"/>
      <c r="CI58" s="437"/>
      <c r="CJ58" s="437"/>
      <c r="CK58" s="43"/>
      <c r="CL58" s="43"/>
      <c r="CM58" s="43" t="str">
        <f>IF(FILIACIÓN!Z55="MOSTRAR","1","")</f>
        <v/>
      </c>
      <c r="CN58" s="43">
        <v>45</v>
      </c>
      <c r="CO58" s="43"/>
      <c r="CP58" s="43"/>
      <c r="CQ58" s="43"/>
      <c r="CR58" s="43"/>
      <c r="CS58" s="43"/>
      <c r="CU58" s="43"/>
      <c r="CV58" s="43"/>
      <c r="CW58" s="43"/>
      <c r="CX58" s="43"/>
      <c r="CY58" s="43"/>
      <c r="DA58" s="43"/>
      <c r="DB58" s="43"/>
      <c r="DC58" s="43"/>
      <c r="DD58" s="43"/>
      <c r="DE58" s="43"/>
      <c r="DG58" s="43"/>
      <c r="DH58" s="43"/>
      <c r="DI58" s="43"/>
      <c r="DJ58" s="43"/>
      <c r="DK58" s="43"/>
      <c r="DM58" s="532"/>
      <c r="DP58" s="43"/>
      <c r="DQ58" s="43"/>
      <c r="DR58" s="43"/>
      <c r="DS58" s="43"/>
      <c r="DT58" s="43"/>
      <c r="DV58" s="43"/>
      <c r="DW58" s="43"/>
      <c r="DX58" s="43"/>
      <c r="DY58" s="43"/>
      <c r="DZ58" s="43"/>
      <c r="EB58" s="43"/>
      <c r="EC58" s="43"/>
      <c r="ED58" s="43"/>
      <c r="EE58" s="43"/>
      <c r="EF58" s="43"/>
      <c r="EH58" s="43"/>
      <c r="EI58" s="43"/>
      <c r="EJ58" s="43"/>
      <c r="EK58" s="43"/>
      <c r="EL58" s="43"/>
      <c r="EN58" s="43"/>
      <c r="EO58" s="43"/>
      <c r="EP58" s="43"/>
      <c r="EQ58" s="43"/>
      <c r="ER58" s="43"/>
      <c r="ET58" s="43"/>
      <c r="EU58" s="43"/>
      <c r="EV58" s="43"/>
      <c r="EW58" s="43"/>
      <c r="EX58" s="43"/>
      <c r="EZ58" s="43"/>
      <c r="FC58" s="43"/>
      <c r="FD58" s="43"/>
      <c r="FE58" s="43"/>
      <c r="FF58" s="43"/>
      <c r="FG58" s="43"/>
      <c r="FI58" s="43"/>
      <c r="FJ58" s="43"/>
      <c r="FK58" s="43"/>
      <c r="FL58" s="43"/>
      <c r="FM58" s="43"/>
      <c r="FO58" s="43"/>
      <c r="FP58" s="43"/>
      <c r="FQ58" s="43"/>
      <c r="FR58" s="43"/>
      <c r="FS58" s="43"/>
      <c r="FU58" s="43"/>
      <c r="FV58" s="43"/>
      <c r="FW58" s="43"/>
      <c r="FX58" s="43"/>
      <c r="FY58" s="43"/>
      <c r="GA58" s="43"/>
      <c r="GB58" s="43"/>
      <c r="GC58" s="43"/>
      <c r="GD58" s="43"/>
      <c r="GE58" s="43"/>
      <c r="GG58" s="43"/>
      <c r="GH58" s="43"/>
      <c r="GI58" s="43"/>
      <c r="GJ58" s="43"/>
      <c r="GK58" s="43"/>
      <c r="GM58" s="532"/>
      <c r="GO58" s="43"/>
      <c r="GP58" s="43"/>
      <c r="GQ58" s="43"/>
      <c r="GR58" s="43"/>
      <c r="GS58" s="43"/>
      <c r="GT58" s="25"/>
      <c r="GU58" s="43"/>
      <c r="GV58" s="43"/>
      <c r="GW58" s="43"/>
      <c r="GX58" s="43"/>
      <c r="GY58" s="43"/>
      <c r="GZ58" s="25"/>
      <c r="HA58" s="43"/>
      <c r="HB58" s="43"/>
      <c r="HC58" s="43"/>
      <c r="HD58" s="43"/>
      <c r="HE58" s="43"/>
      <c r="HF58" s="25"/>
      <c r="HG58" s="43"/>
      <c r="HH58" s="43"/>
      <c r="HI58" s="43"/>
      <c r="HJ58" s="43"/>
      <c r="HK58" s="43"/>
      <c r="HL58" s="25"/>
      <c r="HM58" s="43"/>
      <c r="HN58" s="43"/>
      <c r="HO58" s="43"/>
      <c r="HP58" s="43"/>
      <c r="HQ58" s="43"/>
      <c r="HR58" s="25"/>
      <c r="HS58" s="43"/>
      <c r="HT58" s="43"/>
      <c r="HU58" s="43"/>
      <c r="HV58" s="43"/>
      <c r="HW58" s="43"/>
      <c r="HX58" s="25"/>
      <c r="HY58" s="532"/>
    </row>
    <row r="59" spans="1:233" ht="21.75" hidden="1" customHeight="1">
      <c r="A59" s="189">
        <f>--SUBTOTAL(2,CN$13:CN59)</f>
        <v>46</v>
      </c>
      <c r="B59" s="638" t="str">
        <f>IF(FILIACIÓN!B56="","",UPPER(FILIACIÓN!B56))</f>
        <v/>
      </c>
      <c r="C59" s="639"/>
      <c r="D59" s="640"/>
      <c r="E59" s="446" t="str">
        <f t="shared" si="3"/>
        <v/>
      </c>
      <c r="F59" s="161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294"/>
      <c r="V59" s="295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3"/>
      <c r="BX59" s="180">
        <f t="shared" si="7"/>
        <v>0</v>
      </c>
      <c r="BY59" s="181">
        <f t="shared" si="8"/>
        <v>0</v>
      </c>
      <c r="BZ59" s="179">
        <f t="shared" si="9"/>
        <v>0</v>
      </c>
      <c r="CA59" s="186">
        <f t="shared" si="10"/>
        <v>0</v>
      </c>
      <c r="CB59" s="186">
        <f t="shared" si="11"/>
        <v>0</v>
      </c>
      <c r="CC59" s="456" t="str">
        <f>FILIACIÓN!Y56</f>
        <v/>
      </c>
      <c r="CD59" s="443" t="str">
        <f t="shared" si="12"/>
        <v/>
      </c>
      <c r="CE59" s="533"/>
      <c r="CF59" s="436"/>
      <c r="CG59" s="437"/>
      <c r="CH59" s="437"/>
      <c r="CI59" s="437"/>
      <c r="CJ59" s="437"/>
      <c r="CK59" s="43"/>
      <c r="CL59" s="43"/>
      <c r="CM59" s="43" t="str">
        <f>IF(FILIACIÓN!Z56="MOSTRAR","1","")</f>
        <v/>
      </c>
      <c r="CN59" s="43">
        <v>46</v>
      </c>
      <c r="CO59" s="43"/>
      <c r="CP59" s="43"/>
      <c r="CQ59" s="43"/>
      <c r="CR59" s="43"/>
      <c r="CS59" s="43"/>
      <c r="CU59" s="43"/>
      <c r="CV59" s="43"/>
      <c r="CW59" s="43"/>
      <c r="CX59" s="43"/>
      <c r="CY59" s="43"/>
      <c r="DA59" s="43"/>
      <c r="DB59" s="43"/>
      <c r="DC59" s="43"/>
      <c r="DD59" s="43"/>
      <c r="DE59" s="43"/>
      <c r="DG59" s="43"/>
      <c r="DH59" s="43"/>
      <c r="DI59" s="43"/>
      <c r="DJ59" s="43"/>
      <c r="DK59" s="43"/>
      <c r="DM59" s="532"/>
      <c r="DP59" s="43"/>
      <c r="DQ59" s="43"/>
      <c r="DR59" s="43"/>
      <c r="DS59" s="43"/>
      <c r="DT59" s="43"/>
      <c r="DV59" s="43"/>
      <c r="DW59" s="43"/>
      <c r="DX59" s="43"/>
      <c r="DY59" s="43"/>
      <c r="DZ59" s="43"/>
      <c r="EB59" s="43"/>
      <c r="EC59" s="43"/>
      <c r="ED59" s="43"/>
      <c r="EE59" s="43"/>
      <c r="EF59" s="43"/>
      <c r="EH59" s="43"/>
      <c r="EI59" s="43"/>
      <c r="EJ59" s="43"/>
      <c r="EK59" s="43"/>
      <c r="EL59" s="43"/>
      <c r="EN59" s="43"/>
      <c r="EO59" s="43"/>
      <c r="EP59" s="43"/>
      <c r="EQ59" s="43"/>
      <c r="ER59" s="43"/>
      <c r="ET59" s="43"/>
      <c r="EU59" s="43"/>
      <c r="EV59" s="43"/>
      <c r="EW59" s="43"/>
      <c r="EX59" s="43"/>
      <c r="EZ59" s="43"/>
      <c r="FC59" s="43"/>
      <c r="FD59" s="43"/>
      <c r="FE59" s="43"/>
      <c r="FF59" s="43"/>
      <c r="FG59" s="43"/>
      <c r="FI59" s="43"/>
      <c r="FJ59" s="43"/>
      <c r="FK59" s="43"/>
      <c r="FL59" s="43"/>
      <c r="FM59" s="43"/>
      <c r="FO59" s="43"/>
      <c r="FP59" s="43"/>
      <c r="FQ59" s="43"/>
      <c r="FR59" s="43"/>
      <c r="FS59" s="43"/>
      <c r="FU59" s="43"/>
      <c r="FV59" s="43"/>
      <c r="FW59" s="43"/>
      <c r="FX59" s="43"/>
      <c r="FY59" s="43"/>
      <c r="GA59" s="43"/>
      <c r="GB59" s="43"/>
      <c r="GC59" s="43"/>
      <c r="GD59" s="43"/>
      <c r="GE59" s="43"/>
      <c r="GG59" s="43"/>
      <c r="GH59" s="43"/>
      <c r="GI59" s="43"/>
      <c r="GJ59" s="43"/>
      <c r="GK59" s="43"/>
      <c r="GM59" s="532"/>
      <c r="GO59" s="43"/>
      <c r="GP59" s="43"/>
      <c r="GQ59" s="43"/>
      <c r="GR59" s="43"/>
      <c r="GS59" s="43"/>
      <c r="GT59" s="25"/>
      <c r="GU59" s="43"/>
      <c r="GV59" s="43"/>
      <c r="GW59" s="43"/>
      <c r="GX59" s="43"/>
      <c r="GY59" s="43"/>
      <c r="GZ59" s="25"/>
      <c r="HA59" s="43"/>
      <c r="HB59" s="43"/>
      <c r="HC59" s="43"/>
      <c r="HD59" s="43"/>
      <c r="HE59" s="43"/>
      <c r="HF59" s="25"/>
      <c r="HG59" s="43"/>
      <c r="HH59" s="43"/>
      <c r="HI59" s="43"/>
      <c r="HJ59" s="43"/>
      <c r="HK59" s="43"/>
      <c r="HL59" s="25"/>
      <c r="HM59" s="43"/>
      <c r="HN59" s="43"/>
      <c r="HO59" s="43"/>
      <c r="HP59" s="43"/>
      <c r="HQ59" s="43"/>
      <c r="HR59" s="25"/>
      <c r="HS59" s="43"/>
      <c r="HT59" s="43"/>
      <c r="HU59" s="43"/>
      <c r="HV59" s="43"/>
      <c r="HW59" s="43"/>
      <c r="HX59" s="25"/>
      <c r="HY59" s="532"/>
    </row>
    <row r="60" spans="1:233" ht="21.75" hidden="1" customHeight="1">
      <c r="A60" s="189">
        <f>--SUBTOTAL(2,CN$13:CN60)</f>
        <v>47</v>
      </c>
      <c r="B60" s="638" t="str">
        <f>IF(FILIACIÓN!B57="","",UPPER(FILIACIÓN!B57))</f>
        <v/>
      </c>
      <c r="C60" s="639"/>
      <c r="D60" s="640"/>
      <c r="E60" s="446" t="str">
        <f t="shared" si="3"/>
        <v/>
      </c>
      <c r="F60" s="161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294"/>
      <c r="V60" s="295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3"/>
      <c r="BX60" s="180">
        <f t="shared" si="7"/>
        <v>0</v>
      </c>
      <c r="BY60" s="181">
        <f t="shared" si="8"/>
        <v>0</v>
      </c>
      <c r="BZ60" s="179">
        <f t="shared" si="9"/>
        <v>0</v>
      </c>
      <c r="CA60" s="186">
        <f t="shared" si="10"/>
        <v>0</v>
      </c>
      <c r="CB60" s="186">
        <f t="shared" si="11"/>
        <v>0</v>
      </c>
      <c r="CC60" s="456" t="str">
        <f>FILIACIÓN!Y57</f>
        <v/>
      </c>
      <c r="CD60" s="443" t="str">
        <f t="shared" si="12"/>
        <v/>
      </c>
      <c r="CE60" s="533"/>
      <c r="CF60" s="436"/>
      <c r="CG60" s="437"/>
      <c r="CH60" s="437"/>
      <c r="CI60" s="437"/>
      <c r="CJ60" s="437"/>
      <c r="CK60" s="43"/>
      <c r="CL60" s="43"/>
      <c r="CM60" s="43" t="str">
        <f>IF(FILIACIÓN!Z57="MOSTRAR","1","")</f>
        <v/>
      </c>
      <c r="CN60" s="43">
        <v>47</v>
      </c>
      <c r="CO60" s="43"/>
      <c r="CP60" s="43"/>
      <c r="CQ60" s="43"/>
      <c r="CR60" s="43"/>
      <c r="CS60" s="43"/>
      <c r="CU60" s="43"/>
      <c r="CV60" s="43"/>
      <c r="CW60" s="43"/>
      <c r="CX60" s="43"/>
      <c r="CY60" s="43"/>
      <c r="DA60" s="43"/>
      <c r="DB60" s="43"/>
      <c r="DC60" s="43"/>
      <c r="DD60" s="43"/>
      <c r="DE60" s="43"/>
      <c r="DG60" s="43"/>
      <c r="DH60" s="43"/>
      <c r="DI60" s="43"/>
      <c r="DJ60" s="43"/>
      <c r="DK60" s="43"/>
      <c r="DM60" s="532"/>
      <c r="DP60" s="43"/>
      <c r="DQ60" s="43"/>
      <c r="DR60" s="43"/>
      <c r="DS60" s="43"/>
      <c r="DT60" s="43"/>
      <c r="DV60" s="43"/>
      <c r="DW60" s="43"/>
      <c r="DX60" s="43"/>
      <c r="DY60" s="43"/>
      <c r="DZ60" s="43"/>
      <c r="EB60" s="43"/>
      <c r="EC60" s="43"/>
      <c r="ED60" s="43"/>
      <c r="EE60" s="43"/>
      <c r="EF60" s="43"/>
      <c r="EH60" s="43"/>
      <c r="EI60" s="43"/>
      <c r="EJ60" s="43"/>
      <c r="EK60" s="43"/>
      <c r="EL60" s="43"/>
      <c r="EN60" s="43"/>
      <c r="EO60" s="43"/>
      <c r="EP60" s="43"/>
      <c r="EQ60" s="43"/>
      <c r="ER60" s="43"/>
      <c r="ET60" s="43"/>
      <c r="EU60" s="43"/>
      <c r="EV60" s="43"/>
      <c r="EW60" s="43"/>
      <c r="EX60" s="43"/>
      <c r="EZ60" s="43"/>
      <c r="FC60" s="43"/>
      <c r="FD60" s="43"/>
      <c r="FE60" s="43"/>
      <c r="FF60" s="43"/>
      <c r="FG60" s="43"/>
      <c r="FI60" s="43"/>
      <c r="FJ60" s="43"/>
      <c r="FK60" s="43"/>
      <c r="FL60" s="43"/>
      <c r="FM60" s="43"/>
      <c r="FO60" s="43"/>
      <c r="FP60" s="43"/>
      <c r="FQ60" s="43"/>
      <c r="FR60" s="43"/>
      <c r="FS60" s="43"/>
      <c r="FU60" s="43"/>
      <c r="FV60" s="43"/>
      <c r="FW60" s="43"/>
      <c r="FX60" s="43"/>
      <c r="FY60" s="43"/>
      <c r="GA60" s="43"/>
      <c r="GB60" s="43"/>
      <c r="GC60" s="43"/>
      <c r="GD60" s="43"/>
      <c r="GE60" s="43"/>
      <c r="GG60" s="43"/>
      <c r="GH60" s="43"/>
      <c r="GI60" s="43"/>
      <c r="GJ60" s="43"/>
      <c r="GK60" s="43"/>
      <c r="GM60" s="532"/>
      <c r="GO60" s="43"/>
      <c r="GP60" s="43"/>
      <c r="GQ60" s="43"/>
      <c r="GR60" s="43"/>
      <c r="GS60" s="43"/>
      <c r="GT60" s="25"/>
      <c r="GU60" s="43"/>
      <c r="GV60" s="43"/>
      <c r="GW60" s="43"/>
      <c r="GX60" s="43"/>
      <c r="GY60" s="43"/>
      <c r="GZ60" s="25"/>
      <c r="HA60" s="43"/>
      <c r="HB60" s="43"/>
      <c r="HC60" s="43"/>
      <c r="HD60" s="43"/>
      <c r="HE60" s="43"/>
      <c r="HF60" s="25"/>
      <c r="HG60" s="43"/>
      <c r="HH60" s="43"/>
      <c r="HI60" s="43"/>
      <c r="HJ60" s="43"/>
      <c r="HK60" s="43"/>
      <c r="HL60" s="25"/>
      <c r="HM60" s="43"/>
      <c r="HN60" s="43"/>
      <c r="HO60" s="43"/>
      <c r="HP60" s="43"/>
      <c r="HQ60" s="43"/>
      <c r="HR60" s="25"/>
      <c r="HS60" s="43"/>
      <c r="HT60" s="43"/>
      <c r="HU60" s="43"/>
      <c r="HV60" s="43"/>
      <c r="HW60" s="43"/>
      <c r="HX60" s="25"/>
      <c r="HY60" s="532"/>
    </row>
    <row r="61" spans="1:233" ht="21.75" hidden="1" customHeight="1">
      <c r="A61" s="189">
        <f>--SUBTOTAL(2,CN$13:CN61)</f>
        <v>48</v>
      </c>
      <c r="B61" s="638" t="str">
        <f>IF(FILIACIÓN!B58="","",UPPER(FILIACIÓN!B58))</f>
        <v/>
      </c>
      <c r="C61" s="639"/>
      <c r="D61" s="640"/>
      <c r="E61" s="446" t="str">
        <f t="shared" si="3"/>
        <v/>
      </c>
      <c r="F61" s="161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294"/>
      <c r="V61" s="295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3"/>
      <c r="BX61" s="180">
        <f t="shared" si="7"/>
        <v>0</v>
      </c>
      <c r="BY61" s="181">
        <f t="shared" si="8"/>
        <v>0</v>
      </c>
      <c r="BZ61" s="179">
        <f t="shared" si="9"/>
        <v>0</v>
      </c>
      <c r="CA61" s="186">
        <f t="shared" si="10"/>
        <v>0</v>
      </c>
      <c r="CB61" s="186">
        <f t="shared" si="11"/>
        <v>0</v>
      </c>
      <c r="CC61" s="456" t="str">
        <f>FILIACIÓN!Y58</f>
        <v/>
      </c>
      <c r="CD61" s="443" t="str">
        <f t="shared" si="12"/>
        <v/>
      </c>
      <c r="CE61" s="533"/>
      <c r="CF61" s="436"/>
      <c r="CG61" s="437"/>
      <c r="CH61" s="437"/>
      <c r="CI61" s="437"/>
      <c r="CJ61" s="437"/>
      <c r="CK61" s="43"/>
      <c r="CL61" s="43"/>
      <c r="CM61" s="43" t="str">
        <f>IF(FILIACIÓN!Z58="MOSTRAR","1","")</f>
        <v/>
      </c>
      <c r="CN61" s="43">
        <v>48</v>
      </c>
      <c r="CO61" s="43"/>
      <c r="CP61" s="43"/>
      <c r="CQ61" s="43"/>
      <c r="CR61" s="43"/>
      <c r="CS61" s="43"/>
      <c r="CU61" s="43"/>
      <c r="CV61" s="43"/>
      <c r="CW61" s="43"/>
      <c r="CX61" s="43"/>
      <c r="CY61" s="43"/>
      <c r="DA61" s="43"/>
      <c r="DB61" s="43"/>
      <c r="DC61" s="43"/>
      <c r="DD61" s="43"/>
      <c r="DE61" s="43"/>
      <c r="DG61" s="43"/>
      <c r="DH61" s="43"/>
      <c r="DI61" s="43"/>
      <c r="DJ61" s="43"/>
      <c r="DK61" s="43"/>
      <c r="DM61" s="532"/>
      <c r="DP61" s="43"/>
      <c r="DQ61" s="43"/>
      <c r="DR61" s="43"/>
      <c r="DS61" s="43"/>
      <c r="DT61" s="43"/>
      <c r="DV61" s="43"/>
      <c r="DW61" s="43"/>
      <c r="DX61" s="43"/>
      <c r="DY61" s="43"/>
      <c r="DZ61" s="43"/>
      <c r="EB61" s="43"/>
      <c r="EC61" s="43"/>
      <c r="ED61" s="43"/>
      <c r="EE61" s="43"/>
      <c r="EF61" s="43"/>
      <c r="EH61" s="43"/>
      <c r="EI61" s="43"/>
      <c r="EJ61" s="43"/>
      <c r="EK61" s="43"/>
      <c r="EL61" s="43"/>
      <c r="EN61" s="43"/>
      <c r="EO61" s="43"/>
      <c r="EP61" s="43"/>
      <c r="EQ61" s="43"/>
      <c r="ER61" s="43"/>
      <c r="ET61" s="43"/>
      <c r="EU61" s="43"/>
      <c r="EV61" s="43"/>
      <c r="EW61" s="43"/>
      <c r="EX61" s="43"/>
      <c r="EZ61" s="43"/>
      <c r="FC61" s="43"/>
      <c r="FD61" s="43"/>
      <c r="FE61" s="43"/>
      <c r="FF61" s="43"/>
      <c r="FG61" s="43"/>
      <c r="FI61" s="43"/>
      <c r="FJ61" s="43"/>
      <c r="FK61" s="43"/>
      <c r="FL61" s="43"/>
      <c r="FM61" s="43"/>
      <c r="FO61" s="43"/>
      <c r="FP61" s="43"/>
      <c r="FQ61" s="43"/>
      <c r="FR61" s="43"/>
      <c r="FS61" s="43"/>
      <c r="FU61" s="43"/>
      <c r="FV61" s="43"/>
      <c r="FW61" s="43"/>
      <c r="FX61" s="43"/>
      <c r="FY61" s="43"/>
      <c r="GA61" s="43"/>
      <c r="GB61" s="43"/>
      <c r="GC61" s="43"/>
      <c r="GD61" s="43"/>
      <c r="GE61" s="43"/>
      <c r="GG61" s="43"/>
      <c r="GH61" s="43"/>
      <c r="GI61" s="43"/>
      <c r="GJ61" s="43"/>
      <c r="GK61" s="43"/>
      <c r="GM61" s="532"/>
      <c r="GO61" s="43"/>
      <c r="GP61" s="43"/>
      <c r="GQ61" s="43"/>
      <c r="GR61" s="43"/>
      <c r="GS61" s="43"/>
      <c r="GT61" s="25"/>
      <c r="GU61" s="43"/>
      <c r="GV61" s="43"/>
      <c r="GW61" s="43"/>
      <c r="GX61" s="43"/>
      <c r="GY61" s="43"/>
      <c r="GZ61" s="25"/>
      <c r="HA61" s="43"/>
      <c r="HB61" s="43"/>
      <c r="HC61" s="43"/>
      <c r="HD61" s="43"/>
      <c r="HE61" s="43"/>
      <c r="HF61" s="25"/>
      <c r="HG61" s="43"/>
      <c r="HH61" s="43"/>
      <c r="HI61" s="43"/>
      <c r="HJ61" s="43"/>
      <c r="HK61" s="43"/>
      <c r="HL61" s="25"/>
      <c r="HM61" s="43"/>
      <c r="HN61" s="43"/>
      <c r="HO61" s="43"/>
      <c r="HP61" s="43"/>
      <c r="HQ61" s="43"/>
      <c r="HR61" s="25"/>
      <c r="HS61" s="43"/>
      <c r="HT61" s="43"/>
      <c r="HU61" s="43"/>
      <c r="HV61" s="43"/>
      <c r="HW61" s="43"/>
      <c r="HX61" s="25"/>
      <c r="HY61" s="532"/>
    </row>
    <row r="62" spans="1:233" ht="21.75" hidden="1" customHeight="1">
      <c r="A62" s="189">
        <f>--SUBTOTAL(2,CN$13:CN62)</f>
        <v>49</v>
      </c>
      <c r="B62" s="638" t="str">
        <f>IF(FILIACIÓN!B59="","",UPPER(FILIACIÓN!B59))</f>
        <v/>
      </c>
      <c r="C62" s="639"/>
      <c r="D62" s="640"/>
      <c r="E62" s="446" t="str">
        <f t="shared" si="3"/>
        <v/>
      </c>
      <c r="F62" s="161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294"/>
      <c r="V62" s="295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3"/>
      <c r="BX62" s="180">
        <f t="shared" si="4"/>
        <v>0</v>
      </c>
      <c r="BY62" s="181">
        <f t="shared" si="5"/>
        <v>0</v>
      </c>
      <c r="BZ62" s="179">
        <f t="shared" si="0"/>
        <v>0</v>
      </c>
      <c r="CA62" s="186">
        <f t="shared" si="1"/>
        <v>0</v>
      </c>
      <c r="CB62" s="186">
        <f t="shared" si="6"/>
        <v>0</v>
      </c>
      <c r="CC62" s="456" t="str">
        <f>FILIACIÓN!Y59</f>
        <v/>
      </c>
      <c r="CD62" s="443" t="str">
        <f>IFERROR(IF($CD$8="","",SUM(($B$70*BZ62)/$CD$8,($B$67*CA62)/$CD$8,($B$69*BX62)/$CD$8)),"")</f>
        <v/>
      </c>
      <c r="CE62" s="78"/>
      <c r="CF62" s="436"/>
      <c r="CG62" s="437"/>
      <c r="CH62" s="437"/>
      <c r="CI62" s="437"/>
      <c r="CJ62" s="437"/>
      <c r="CK62" s="43"/>
      <c r="CL62" s="43"/>
      <c r="CM62" s="43" t="str">
        <f>IF(FILIACIÓN!Z59="MOSTRAR","1","")</f>
        <v/>
      </c>
      <c r="CN62" s="43">
        <v>49</v>
      </c>
      <c r="CO62" s="43"/>
      <c r="CP62" s="43"/>
      <c r="CQ62" s="43"/>
      <c r="CR62" s="43"/>
      <c r="CS62" s="43"/>
      <c r="CU62" s="43"/>
      <c r="CV62" s="43"/>
      <c r="CW62" s="43"/>
      <c r="CX62" s="43"/>
      <c r="CY62" s="43"/>
      <c r="DA62" s="43"/>
      <c r="DB62" s="43"/>
      <c r="DC62" s="43"/>
      <c r="DD62" s="43"/>
      <c r="DE62" s="43"/>
      <c r="DG62" s="43"/>
      <c r="DH62" s="43"/>
      <c r="DI62" s="43"/>
      <c r="DJ62" s="43"/>
      <c r="DK62" s="43"/>
      <c r="DP62" s="43"/>
      <c r="DQ62" s="43"/>
      <c r="DR62" s="43"/>
      <c r="DS62" s="43"/>
      <c r="DT62" s="43"/>
      <c r="DV62" s="43"/>
      <c r="DW62" s="43"/>
      <c r="DX62" s="43"/>
      <c r="DY62" s="43"/>
      <c r="DZ62" s="43"/>
      <c r="EB62" s="43"/>
      <c r="EC62" s="43"/>
      <c r="ED62" s="43"/>
      <c r="EE62" s="43"/>
      <c r="EF62" s="43"/>
      <c r="EH62" s="43"/>
      <c r="EI62" s="43"/>
      <c r="EJ62" s="43"/>
      <c r="EK62" s="43"/>
      <c r="EL62" s="43"/>
      <c r="EN62" s="43"/>
      <c r="EO62" s="43"/>
      <c r="EP62" s="43"/>
      <c r="EQ62" s="43"/>
      <c r="ER62" s="43"/>
      <c r="ET62" s="43"/>
      <c r="EU62" s="43"/>
      <c r="EV62" s="43"/>
      <c r="EW62" s="43"/>
      <c r="EX62" s="43"/>
      <c r="EZ62" s="43"/>
      <c r="FC62" s="43"/>
      <c r="FD62" s="43"/>
      <c r="FE62" s="43"/>
      <c r="FF62" s="43"/>
      <c r="FG62" s="43"/>
      <c r="FI62" s="43"/>
      <c r="FJ62" s="43"/>
      <c r="FK62" s="43"/>
      <c r="FL62" s="43"/>
      <c r="FM62" s="43"/>
      <c r="FO62" s="43"/>
      <c r="FP62" s="43"/>
      <c r="FQ62" s="43"/>
      <c r="FR62" s="43"/>
      <c r="FS62" s="43"/>
      <c r="FU62" s="43"/>
      <c r="FV62" s="43"/>
      <c r="FW62" s="43"/>
      <c r="FX62" s="43"/>
      <c r="FY62" s="43"/>
      <c r="GA62" s="43"/>
      <c r="GB62" s="43"/>
      <c r="GC62" s="43"/>
      <c r="GD62" s="43"/>
      <c r="GE62" s="43"/>
      <c r="GG62" s="43"/>
      <c r="GH62" s="43"/>
      <c r="GI62" s="43"/>
      <c r="GJ62" s="43"/>
      <c r="GK62" s="43"/>
      <c r="GM62" s="77"/>
      <c r="GO62" s="43"/>
      <c r="GP62" s="43"/>
      <c r="GQ62" s="43"/>
      <c r="GR62" s="43"/>
      <c r="GS62" s="43"/>
      <c r="GT62" s="25"/>
      <c r="GU62" s="43"/>
      <c r="GV62" s="43"/>
      <c r="GW62" s="43"/>
      <c r="GX62" s="43"/>
      <c r="GY62" s="43"/>
      <c r="GZ62" s="25"/>
      <c r="HA62" s="43"/>
      <c r="HB62" s="43"/>
      <c r="HC62" s="43"/>
      <c r="HD62" s="43"/>
      <c r="HE62" s="43"/>
      <c r="HF62" s="25"/>
      <c r="HG62" s="43"/>
      <c r="HH62" s="43"/>
      <c r="HI62" s="43"/>
      <c r="HJ62" s="43"/>
      <c r="HK62" s="43"/>
      <c r="HL62" s="25"/>
      <c r="HM62" s="43"/>
      <c r="HN62" s="43"/>
      <c r="HO62" s="43"/>
      <c r="HP62" s="43"/>
      <c r="HQ62" s="43"/>
      <c r="HR62" s="25"/>
      <c r="HS62" s="43"/>
      <c r="HT62" s="43"/>
      <c r="HU62" s="43"/>
      <c r="HV62" s="43"/>
      <c r="HW62" s="43"/>
      <c r="HX62" s="25"/>
      <c r="HY62" s="77"/>
    </row>
    <row r="63" spans="1:233" ht="21.75" hidden="1" customHeight="1" thickBot="1">
      <c r="A63" s="190">
        <f>--SUBTOTAL(2,CN$13:CN63)</f>
        <v>50</v>
      </c>
      <c r="B63" s="644" t="str">
        <f>IF(FILIACIÓN!B60="","",UPPER(FILIACIÓN!B60))</f>
        <v/>
      </c>
      <c r="C63" s="645"/>
      <c r="D63" s="646"/>
      <c r="E63" s="447" t="str">
        <f t="shared" si="3"/>
        <v/>
      </c>
      <c r="F63" s="164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296"/>
      <c r="V63" s="297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  <c r="AN63" s="165"/>
      <c r="AO63" s="165"/>
      <c r="AP63" s="165"/>
      <c r="AQ63" s="165"/>
      <c r="AR63" s="165"/>
      <c r="AS63" s="165"/>
      <c r="AT63" s="165"/>
      <c r="AU63" s="165"/>
      <c r="AV63" s="165"/>
      <c r="AW63" s="165"/>
      <c r="AX63" s="165"/>
      <c r="AY63" s="165"/>
      <c r="AZ63" s="165"/>
      <c r="BA63" s="165"/>
      <c r="BB63" s="165"/>
      <c r="BC63" s="165"/>
      <c r="BD63" s="165"/>
      <c r="BE63" s="165"/>
      <c r="BF63" s="165"/>
      <c r="BG63" s="165"/>
      <c r="BH63" s="165"/>
      <c r="BI63" s="165"/>
      <c r="BJ63" s="165"/>
      <c r="BK63" s="165"/>
      <c r="BL63" s="165"/>
      <c r="BM63" s="165"/>
      <c r="BN63" s="165"/>
      <c r="BO63" s="165"/>
      <c r="BP63" s="165"/>
      <c r="BQ63" s="165"/>
      <c r="BR63" s="165"/>
      <c r="BS63" s="165"/>
      <c r="BT63" s="165"/>
      <c r="BU63" s="165"/>
      <c r="BV63" s="165"/>
      <c r="BW63" s="166"/>
      <c r="BX63" s="183">
        <f t="shared" si="4"/>
        <v>0</v>
      </c>
      <c r="BY63" s="184">
        <f t="shared" si="5"/>
        <v>0</v>
      </c>
      <c r="BZ63" s="182">
        <f t="shared" si="0"/>
        <v>0</v>
      </c>
      <c r="CA63" s="187">
        <f t="shared" si="1"/>
        <v>0</v>
      </c>
      <c r="CB63" s="187">
        <f t="shared" ref="CB63" si="13">SUM(BZ63:CA63)</f>
        <v>0</v>
      </c>
      <c r="CC63" s="457" t="str">
        <f>FILIACIÓN!Y60</f>
        <v/>
      </c>
      <c r="CD63" s="444" t="str">
        <f>IFERROR(IF($CD$8="","",SUM(($B$70*BZ63)/$CD$8,($B$67*CA63)/$CD$8,($B$69*BX63)/$CD$8)),"")</f>
        <v/>
      </c>
      <c r="CE63" s="126"/>
      <c r="CF63" s="438"/>
      <c r="CG63" s="439"/>
      <c r="CH63" s="439"/>
      <c r="CI63" s="439"/>
      <c r="CJ63" s="439"/>
      <c r="CK63" s="43"/>
      <c r="CL63" s="43"/>
      <c r="CM63" s="43" t="str">
        <f>IF(FILIACIÓN!Z60="MOSTRAR","1","")</f>
        <v/>
      </c>
      <c r="CN63" s="43">
        <v>50</v>
      </c>
      <c r="CO63" s="43"/>
      <c r="CP63" s="43"/>
      <c r="CQ63" s="43"/>
      <c r="CR63" s="43"/>
      <c r="CS63" s="43"/>
      <c r="CU63" s="43"/>
      <c r="CV63" s="43"/>
      <c r="CW63" s="43"/>
      <c r="CX63" s="43"/>
      <c r="CY63" s="43"/>
      <c r="DA63" s="43"/>
      <c r="DB63" s="43"/>
      <c r="DC63" s="43"/>
      <c r="DD63" s="43"/>
      <c r="DE63" s="43"/>
      <c r="DG63" s="43"/>
      <c r="DH63" s="43"/>
      <c r="DI63" s="43"/>
      <c r="DJ63" s="43"/>
      <c r="DK63" s="43"/>
      <c r="DM63" s="125"/>
      <c r="DP63" s="43"/>
      <c r="DQ63" s="43"/>
      <c r="DR63" s="43"/>
      <c r="DS63" s="43"/>
      <c r="DT63" s="43"/>
      <c r="DV63" s="43"/>
      <c r="DW63" s="43"/>
      <c r="DX63" s="43"/>
      <c r="DY63" s="43"/>
      <c r="DZ63" s="43"/>
      <c r="EB63" s="43"/>
      <c r="EC63" s="43"/>
      <c r="ED63" s="43"/>
      <c r="EE63" s="43"/>
      <c r="EF63" s="43"/>
      <c r="EH63" s="43"/>
      <c r="EI63" s="43"/>
      <c r="EJ63" s="43"/>
      <c r="EK63" s="43"/>
      <c r="EL63" s="43"/>
      <c r="EN63" s="43"/>
      <c r="EO63" s="43"/>
      <c r="EP63" s="43"/>
      <c r="EQ63" s="43"/>
      <c r="ER63" s="43"/>
      <c r="ET63" s="43"/>
      <c r="EU63" s="43"/>
      <c r="EV63" s="43"/>
      <c r="EW63" s="43"/>
      <c r="EX63" s="43"/>
      <c r="EZ63" s="43"/>
      <c r="FC63" s="43"/>
      <c r="FD63" s="43"/>
      <c r="FE63" s="43"/>
      <c r="FF63" s="43"/>
      <c r="FG63" s="43"/>
      <c r="FI63" s="43"/>
      <c r="FJ63" s="43"/>
      <c r="FK63" s="43"/>
      <c r="FL63" s="43"/>
      <c r="FM63" s="43"/>
      <c r="FO63" s="43"/>
      <c r="FP63" s="43"/>
      <c r="FQ63" s="43"/>
      <c r="FR63" s="43"/>
      <c r="FS63" s="43"/>
      <c r="FU63" s="43"/>
      <c r="FV63" s="43"/>
      <c r="FW63" s="43"/>
      <c r="FX63" s="43"/>
      <c r="FY63" s="43"/>
      <c r="GA63" s="43"/>
      <c r="GB63" s="43"/>
      <c r="GC63" s="43"/>
      <c r="GD63" s="43"/>
      <c r="GE63" s="43"/>
      <c r="GG63" s="43"/>
      <c r="GH63" s="43"/>
      <c r="GI63" s="43"/>
      <c r="GJ63" s="43"/>
      <c r="GK63" s="43"/>
      <c r="GM63" s="125"/>
      <c r="GO63" s="43"/>
      <c r="GP63" s="43"/>
      <c r="GQ63" s="43"/>
      <c r="GR63" s="43"/>
      <c r="GS63" s="43"/>
      <c r="GT63" s="25"/>
      <c r="GU63" s="43"/>
      <c r="GV63" s="43"/>
      <c r="GW63" s="43"/>
      <c r="GX63" s="43"/>
      <c r="GY63" s="43"/>
      <c r="GZ63" s="25"/>
      <c r="HA63" s="43"/>
      <c r="HB63" s="43"/>
      <c r="HC63" s="43"/>
      <c r="HD63" s="43"/>
      <c r="HE63" s="43"/>
      <c r="HF63" s="25"/>
      <c r="HG63" s="43"/>
      <c r="HH63" s="43"/>
      <c r="HI63" s="43"/>
      <c r="HJ63" s="43"/>
      <c r="HK63" s="43"/>
      <c r="HL63" s="25"/>
      <c r="HM63" s="43"/>
      <c r="HN63" s="43"/>
      <c r="HO63" s="43"/>
      <c r="HP63" s="43"/>
      <c r="HQ63" s="43"/>
      <c r="HR63" s="25"/>
      <c r="HS63" s="43"/>
      <c r="HT63" s="43"/>
      <c r="HU63" s="43"/>
      <c r="HV63" s="43"/>
      <c r="HW63" s="43"/>
      <c r="HX63" s="25"/>
      <c r="HY63" s="125"/>
    </row>
    <row r="64" spans="1:233" ht="20.25" customHeight="1" thickBot="1">
      <c r="A64" s="97"/>
      <c r="B64" s="73"/>
      <c r="C64" s="73"/>
      <c r="D64" s="326" t="s">
        <v>178</v>
      </c>
      <c r="E64" s="428"/>
      <c r="F64" s="127">
        <f t="shared" ref="F64:BV64" si="14">SUM(COUNTIF(F14:F63,"A"),COUNTIF(F14:F63,"T"))</f>
        <v>0</v>
      </c>
      <c r="G64" s="128">
        <f t="shared" si="14"/>
        <v>0</v>
      </c>
      <c r="H64" s="128">
        <f t="shared" si="14"/>
        <v>0</v>
      </c>
      <c r="I64" s="128">
        <f t="shared" si="14"/>
        <v>0</v>
      </c>
      <c r="J64" s="128">
        <f t="shared" si="14"/>
        <v>0</v>
      </c>
      <c r="K64" s="128">
        <f t="shared" si="14"/>
        <v>0</v>
      </c>
      <c r="L64" s="128">
        <f t="shared" si="14"/>
        <v>0</v>
      </c>
      <c r="M64" s="129">
        <f t="shared" si="14"/>
        <v>0</v>
      </c>
      <c r="N64" s="129">
        <f t="shared" si="14"/>
        <v>0</v>
      </c>
      <c r="O64" s="129">
        <f t="shared" si="14"/>
        <v>0</v>
      </c>
      <c r="P64" s="129">
        <f t="shared" si="14"/>
        <v>0</v>
      </c>
      <c r="Q64" s="129">
        <f t="shared" si="14"/>
        <v>0</v>
      </c>
      <c r="R64" s="129">
        <f t="shared" si="14"/>
        <v>0</v>
      </c>
      <c r="S64" s="129">
        <f t="shared" si="14"/>
        <v>0</v>
      </c>
      <c r="T64" s="129">
        <f t="shared" si="14"/>
        <v>0</v>
      </c>
      <c r="U64" s="129">
        <f t="shared" si="14"/>
        <v>0</v>
      </c>
      <c r="V64" s="128">
        <f t="shared" si="14"/>
        <v>0</v>
      </c>
      <c r="W64" s="128">
        <f t="shared" si="14"/>
        <v>0</v>
      </c>
      <c r="X64" s="128">
        <f t="shared" si="14"/>
        <v>0</v>
      </c>
      <c r="Y64" s="128">
        <f t="shared" si="14"/>
        <v>0</v>
      </c>
      <c r="Z64" s="128">
        <f t="shared" si="14"/>
        <v>0</v>
      </c>
      <c r="AA64" s="128">
        <f t="shared" si="14"/>
        <v>0</v>
      </c>
      <c r="AB64" s="128">
        <f t="shared" si="14"/>
        <v>0</v>
      </c>
      <c r="AC64" s="128">
        <f t="shared" si="14"/>
        <v>0</v>
      </c>
      <c r="AD64" s="128">
        <f t="shared" si="14"/>
        <v>0</v>
      </c>
      <c r="AE64" s="128">
        <f t="shared" si="14"/>
        <v>0</v>
      </c>
      <c r="AF64" s="128">
        <f t="shared" si="14"/>
        <v>0</v>
      </c>
      <c r="AG64" s="128">
        <f t="shared" si="14"/>
        <v>0</v>
      </c>
      <c r="AH64" s="128">
        <f t="shared" si="14"/>
        <v>0</v>
      </c>
      <c r="AI64" s="128">
        <f t="shared" si="14"/>
        <v>0</v>
      </c>
      <c r="AJ64" s="128">
        <f t="shared" si="14"/>
        <v>0</v>
      </c>
      <c r="AK64" s="128">
        <f t="shared" si="14"/>
        <v>0</v>
      </c>
      <c r="AL64" s="128">
        <f t="shared" si="14"/>
        <v>0</v>
      </c>
      <c r="AM64" s="128">
        <f t="shared" si="14"/>
        <v>0</v>
      </c>
      <c r="AN64" s="128">
        <f t="shared" si="14"/>
        <v>0</v>
      </c>
      <c r="AO64" s="128">
        <f t="shared" si="14"/>
        <v>0</v>
      </c>
      <c r="AP64" s="128">
        <f t="shared" si="14"/>
        <v>0</v>
      </c>
      <c r="AQ64" s="128">
        <f t="shared" si="14"/>
        <v>0</v>
      </c>
      <c r="AR64" s="128">
        <f t="shared" ref="AR64:BU64" si="15">SUM(COUNTIF(AR14:AR63,"A"),COUNTIF(AR14:AR63,"T"))</f>
        <v>0</v>
      </c>
      <c r="AS64" s="128">
        <f t="shared" si="15"/>
        <v>0</v>
      </c>
      <c r="AT64" s="128">
        <f t="shared" si="15"/>
        <v>0</v>
      </c>
      <c r="AU64" s="128">
        <f t="shared" si="15"/>
        <v>0</v>
      </c>
      <c r="AV64" s="128">
        <f t="shared" si="15"/>
        <v>0</v>
      </c>
      <c r="AW64" s="128">
        <f t="shared" si="15"/>
        <v>0</v>
      </c>
      <c r="AX64" s="128">
        <f t="shared" si="15"/>
        <v>0</v>
      </c>
      <c r="AY64" s="128">
        <f t="shared" si="15"/>
        <v>0</v>
      </c>
      <c r="AZ64" s="128">
        <f t="shared" si="15"/>
        <v>0</v>
      </c>
      <c r="BA64" s="128">
        <f t="shared" si="15"/>
        <v>0</v>
      </c>
      <c r="BB64" s="128">
        <f t="shared" si="15"/>
        <v>0</v>
      </c>
      <c r="BC64" s="128">
        <f t="shared" si="15"/>
        <v>0</v>
      </c>
      <c r="BD64" s="128">
        <f t="shared" si="15"/>
        <v>0</v>
      </c>
      <c r="BE64" s="128">
        <f t="shared" si="15"/>
        <v>0</v>
      </c>
      <c r="BF64" s="128">
        <f t="shared" si="15"/>
        <v>0</v>
      </c>
      <c r="BG64" s="128">
        <f t="shared" si="15"/>
        <v>0</v>
      </c>
      <c r="BH64" s="128">
        <f t="shared" si="15"/>
        <v>0</v>
      </c>
      <c r="BI64" s="128">
        <f t="shared" si="15"/>
        <v>0</v>
      </c>
      <c r="BJ64" s="128">
        <f t="shared" si="15"/>
        <v>0</v>
      </c>
      <c r="BK64" s="128">
        <f t="shared" si="15"/>
        <v>0</v>
      </c>
      <c r="BL64" s="128">
        <f t="shared" si="15"/>
        <v>0</v>
      </c>
      <c r="BM64" s="128">
        <f t="shared" si="15"/>
        <v>0</v>
      </c>
      <c r="BN64" s="128">
        <f t="shared" si="15"/>
        <v>0</v>
      </c>
      <c r="BO64" s="128">
        <f t="shared" si="15"/>
        <v>0</v>
      </c>
      <c r="BP64" s="128">
        <f t="shared" si="15"/>
        <v>0</v>
      </c>
      <c r="BQ64" s="128">
        <f t="shared" si="15"/>
        <v>0</v>
      </c>
      <c r="BR64" s="128">
        <f t="shared" si="15"/>
        <v>0</v>
      </c>
      <c r="BS64" s="128">
        <f t="shared" si="15"/>
        <v>0</v>
      </c>
      <c r="BT64" s="128">
        <f t="shared" si="15"/>
        <v>0</v>
      </c>
      <c r="BU64" s="128">
        <f t="shared" si="15"/>
        <v>0</v>
      </c>
      <c r="BV64" s="128">
        <f t="shared" si="14"/>
        <v>0</v>
      </c>
      <c r="BW64" s="130">
        <f t="shared" ref="BW64" si="16">SUM(COUNTIF(BW14:BW63,"A"),COUNTIF(BW14:BW63,"T"))</f>
        <v>0</v>
      </c>
      <c r="BX64" s="99"/>
      <c r="BY64" s="99"/>
      <c r="BZ64" s="98"/>
      <c r="CA64" s="98"/>
      <c r="CB64" s="98"/>
      <c r="CC64" s="24">
        <f>COUNTIF(CC14:CC63,"EFECTIVO")</f>
        <v>0</v>
      </c>
      <c r="CD64" s="96"/>
      <c r="CE64" s="95"/>
      <c r="CF64" s="94"/>
      <c r="CG64" s="43"/>
      <c r="CH64" s="43"/>
      <c r="CI64" s="43"/>
      <c r="CJ64" s="43"/>
      <c r="CK64" s="43"/>
      <c r="CL64" s="43"/>
      <c r="CM64" s="43"/>
      <c r="CO64" s="43"/>
      <c r="CP64" s="43"/>
      <c r="CQ64" s="43"/>
      <c r="CR64" s="43"/>
      <c r="CS64" s="43"/>
      <c r="CU64" s="43"/>
      <c r="CV64" s="43"/>
      <c r="CW64" s="43"/>
      <c r="CX64" s="43"/>
      <c r="CY64" s="43"/>
      <c r="DA64" s="43"/>
      <c r="DB64" s="43"/>
      <c r="DC64" s="43"/>
      <c r="DD64" s="43"/>
      <c r="DE64" s="43"/>
      <c r="DG64" s="43"/>
      <c r="DH64" s="43"/>
      <c r="DI64" s="43"/>
      <c r="DJ64" s="43"/>
      <c r="DK64" s="43"/>
      <c r="DM64" s="94"/>
      <c r="DP64" s="43"/>
      <c r="DQ64" s="43"/>
      <c r="DR64" s="43"/>
      <c r="DS64" s="43"/>
      <c r="DT64" s="43"/>
      <c r="DV64" s="43"/>
      <c r="DW64" s="43"/>
      <c r="DX64" s="43"/>
      <c r="DY64" s="43"/>
      <c r="DZ64" s="43"/>
      <c r="EB64" s="43"/>
      <c r="EC64" s="43"/>
      <c r="ED64" s="43"/>
      <c r="EE64" s="43"/>
      <c r="EF64" s="43"/>
      <c r="EH64" s="43"/>
      <c r="EI64" s="43"/>
      <c r="EJ64" s="43"/>
      <c r="EK64" s="43"/>
      <c r="EL64" s="43"/>
      <c r="EN64" s="43"/>
      <c r="EO64" s="43"/>
      <c r="EP64" s="43"/>
      <c r="EQ64" s="43"/>
      <c r="ER64" s="43"/>
      <c r="ET64" s="43"/>
      <c r="EU64" s="43"/>
      <c r="EV64" s="43"/>
      <c r="EW64" s="43"/>
      <c r="EX64" s="43"/>
      <c r="EZ64" s="43"/>
      <c r="FC64" s="43"/>
      <c r="FD64" s="43"/>
      <c r="FE64" s="43"/>
      <c r="FF64" s="43"/>
      <c r="FG64" s="43"/>
      <c r="FI64" s="43"/>
      <c r="FJ64" s="43"/>
      <c r="FK64" s="43"/>
      <c r="FL64" s="43"/>
      <c r="FM64" s="43"/>
      <c r="FO64" s="43"/>
      <c r="FP64" s="43"/>
      <c r="FQ64" s="43"/>
      <c r="FR64" s="43"/>
      <c r="FS64" s="43"/>
      <c r="FU64" s="43"/>
      <c r="FV64" s="43"/>
      <c r="FW64" s="43"/>
      <c r="FX64" s="43"/>
      <c r="FY64" s="43"/>
      <c r="GA64" s="43"/>
      <c r="GB64" s="43"/>
      <c r="GC64" s="43"/>
      <c r="GD64" s="43"/>
      <c r="GE64" s="43"/>
      <c r="GG64" s="43"/>
      <c r="GH64" s="43"/>
      <c r="GI64" s="43"/>
      <c r="GJ64" s="43"/>
      <c r="GK64" s="43"/>
      <c r="GM64" s="94"/>
      <c r="GO64" s="43"/>
      <c r="GP64" s="43"/>
      <c r="GQ64" s="43"/>
      <c r="GR64" s="43"/>
      <c r="GS64" s="43"/>
      <c r="GT64" s="25"/>
      <c r="GU64" s="43"/>
      <c r="GV64" s="43"/>
      <c r="GW64" s="43"/>
      <c r="GX64" s="43"/>
      <c r="GY64" s="43"/>
      <c r="GZ64" s="25"/>
      <c r="HA64" s="43"/>
      <c r="HB64" s="43"/>
      <c r="HC64" s="43"/>
      <c r="HD64" s="43"/>
      <c r="HE64" s="43"/>
      <c r="HF64" s="25"/>
      <c r="HG64" s="43"/>
      <c r="HH64" s="43"/>
      <c r="HI64" s="43"/>
      <c r="HJ64" s="43"/>
      <c r="HK64" s="43"/>
      <c r="HL64" s="25"/>
      <c r="HM64" s="43"/>
      <c r="HN64" s="43"/>
      <c r="HO64" s="43"/>
      <c r="HP64" s="43"/>
      <c r="HQ64" s="43"/>
      <c r="HR64" s="25"/>
      <c r="HS64" s="43"/>
      <c r="HT64" s="43"/>
      <c r="HU64" s="43"/>
      <c r="HV64" s="43"/>
      <c r="HW64" s="43"/>
      <c r="HX64" s="25"/>
      <c r="HY64" s="94"/>
    </row>
    <row r="65" spans="1:233" ht="20.25" customHeight="1" thickBot="1">
      <c r="A65" s="97"/>
      <c r="B65" s="73"/>
      <c r="C65" s="73"/>
      <c r="D65" s="448" t="s">
        <v>177</v>
      </c>
      <c r="E65" s="449"/>
      <c r="F65" s="450">
        <f>SUM(COUNTIF(F14:F63,"F"),COUNTIF(F14:F63,"L"))</f>
        <v>0</v>
      </c>
      <c r="G65" s="451">
        <f>SUM(COUNTIF(G14:G63,"F"),COUNTIF(G14:G63,"L"))</f>
        <v>0</v>
      </c>
      <c r="H65" s="451">
        <f t="shared" ref="H65:BV65" si="17">SUM(COUNTIF(H14:H63,"F"),COUNTIF(H14:H63,"L"))</f>
        <v>0</v>
      </c>
      <c r="I65" s="451">
        <f t="shared" si="17"/>
        <v>0</v>
      </c>
      <c r="J65" s="451">
        <f t="shared" si="17"/>
        <v>0</v>
      </c>
      <c r="K65" s="451">
        <f t="shared" si="17"/>
        <v>0</v>
      </c>
      <c r="L65" s="451">
        <f t="shared" si="17"/>
        <v>0</v>
      </c>
      <c r="M65" s="451">
        <f t="shared" si="17"/>
        <v>0</v>
      </c>
      <c r="N65" s="451">
        <f t="shared" si="17"/>
        <v>0</v>
      </c>
      <c r="O65" s="451">
        <f t="shared" si="17"/>
        <v>0</v>
      </c>
      <c r="P65" s="451">
        <f t="shared" si="17"/>
        <v>0</v>
      </c>
      <c r="Q65" s="451">
        <f t="shared" si="17"/>
        <v>0</v>
      </c>
      <c r="R65" s="451">
        <f t="shared" si="17"/>
        <v>0</v>
      </c>
      <c r="S65" s="451">
        <f t="shared" si="17"/>
        <v>0</v>
      </c>
      <c r="T65" s="451">
        <f t="shared" si="17"/>
        <v>0</v>
      </c>
      <c r="U65" s="451">
        <f t="shared" si="17"/>
        <v>0</v>
      </c>
      <c r="V65" s="451">
        <f t="shared" si="17"/>
        <v>0</v>
      </c>
      <c r="W65" s="451">
        <f t="shared" si="17"/>
        <v>0</v>
      </c>
      <c r="X65" s="451">
        <f t="shared" si="17"/>
        <v>0</v>
      </c>
      <c r="Y65" s="451">
        <f t="shared" si="17"/>
        <v>0</v>
      </c>
      <c r="Z65" s="451">
        <f t="shared" si="17"/>
        <v>0</v>
      </c>
      <c r="AA65" s="451">
        <f t="shared" si="17"/>
        <v>0</v>
      </c>
      <c r="AB65" s="451">
        <f t="shared" si="17"/>
        <v>0</v>
      </c>
      <c r="AC65" s="451">
        <f t="shared" si="17"/>
        <v>0</v>
      </c>
      <c r="AD65" s="451">
        <f t="shared" si="17"/>
        <v>0</v>
      </c>
      <c r="AE65" s="451">
        <f t="shared" si="17"/>
        <v>0</v>
      </c>
      <c r="AF65" s="451">
        <f t="shared" si="17"/>
        <v>0</v>
      </c>
      <c r="AG65" s="451">
        <f t="shared" si="17"/>
        <v>0</v>
      </c>
      <c r="AH65" s="451">
        <f t="shared" si="17"/>
        <v>0</v>
      </c>
      <c r="AI65" s="451">
        <f t="shared" si="17"/>
        <v>0</v>
      </c>
      <c r="AJ65" s="451">
        <f t="shared" si="17"/>
        <v>0</v>
      </c>
      <c r="AK65" s="451">
        <f t="shared" si="17"/>
        <v>0</v>
      </c>
      <c r="AL65" s="451">
        <f t="shared" si="17"/>
        <v>0</v>
      </c>
      <c r="AM65" s="451">
        <f t="shared" si="17"/>
        <v>0</v>
      </c>
      <c r="AN65" s="451">
        <f t="shared" si="17"/>
        <v>0</v>
      </c>
      <c r="AO65" s="451">
        <f t="shared" si="17"/>
        <v>0</v>
      </c>
      <c r="AP65" s="451">
        <f t="shared" si="17"/>
        <v>0</v>
      </c>
      <c r="AQ65" s="451">
        <f t="shared" si="17"/>
        <v>0</v>
      </c>
      <c r="AR65" s="451">
        <f t="shared" ref="AR65:BU65" si="18">SUM(COUNTIF(AR14:AR63,"F"),COUNTIF(AR14:AR63,"L"))</f>
        <v>0</v>
      </c>
      <c r="AS65" s="451">
        <f t="shared" si="18"/>
        <v>0</v>
      </c>
      <c r="AT65" s="451">
        <f t="shared" si="18"/>
        <v>0</v>
      </c>
      <c r="AU65" s="451">
        <f t="shared" si="18"/>
        <v>0</v>
      </c>
      <c r="AV65" s="451">
        <f t="shared" si="18"/>
        <v>0</v>
      </c>
      <c r="AW65" s="451">
        <f t="shared" si="18"/>
        <v>0</v>
      </c>
      <c r="AX65" s="451">
        <f t="shared" si="18"/>
        <v>0</v>
      </c>
      <c r="AY65" s="451">
        <f t="shared" si="18"/>
        <v>0</v>
      </c>
      <c r="AZ65" s="451">
        <f t="shared" si="18"/>
        <v>0</v>
      </c>
      <c r="BA65" s="451">
        <f t="shared" si="18"/>
        <v>0</v>
      </c>
      <c r="BB65" s="451">
        <f t="shared" si="18"/>
        <v>0</v>
      </c>
      <c r="BC65" s="451">
        <f t="shared" si="18"/>
        <v>0</v>
      </c>
      <c r="BD65" s="451">
        <f t="shared" si="18"/>
        <v>0</v>
      </c>
      <c r="BE65" s="451">
        <f t="shared" si="18"/>
        <v>0</v>
      </c>
      <c r="BF65" s="451">
        <f t="shared" si="18"/>
        <v>0</v>
      </c>
      <c r="BG65" s="451">
        <f t="shared" si="18"/>
        <v>0</v>
      </c>
      <c r="BH65" s="451">
        <f t="shared" si="18"/>
        <v>0</v>
      </c>
      <c r="BI65" s="451">
        <f t="shared" si="18"/>
        <v>0</v>
      </c>
      <c r="BJ65" s="451">
        <f t="shared" si="18"/>
        <v>0</v>
      </c>
      <c r="BK65" s="451">
        <f t="shared" si="18"/>
        <v>0</v>
      </c>
      <c r="BL65" s="451">
        <f t="shared" si="18"/>
        <v>0</v>
      </c>
      <c r="BM65" s="451">
        <f t="shared" si="18"/>
        <v>0</v>
      </c>
      <c r="BN65" s="451">
        <f t="shared" si="18"/>
        <v>0</v>
      </c>
      <c r="BO65" s="451">
        <f t="shared" si="18"/>
        <v>0</v>
      </c>
      <c r="BP65" s="451">
        <f t="shared" si="18"/>
        <v>0</v>
      </c>
      <c r="BQ65" s="451">
        <f t="shared" si="18"/>
        <v>0</v>
      </c>
      <c r="BR65" s="451">
        <f t="shared" si="18"/>
        <v>0</v>
      </c>
      <c r="BS65" s="451">
        <f t="shared" si="18"/>
        <v>0</v>
      </c>
      <c r="BT65" s="451">
        <f t="shared" si="18"/>
        <v>0</v>
      </c>
      <c r="BU65" s="451">
        <f t="shared" si="18"/>
        <v>0</v>
      </c>
      <c r="BV65" s="451">
        <f t="shared" si="17"/>
        <v>0</v>
      </c>
      <c r="BW65" s="452">
        <f>SUM(COUNTIF(BW14:BW63,"F"),COUNTIF(BW14:BW63,"L"))</f>
        <v>0</v>
      </c>
      <c r="BX65" s="99"/>
      <c r="BY65" s="99"/>
      <c r="BZ65" s="98"/>
      <c r="CA65" s="98"/>
      <c r="CB65" s="98"/>
      <c r="CD65" s="96"/>
      <c r="CE65" s="95"/>
      <c r="CF65" s="94"/>
      <c r="CG65" s="43"/>
      <c r="CH65" s="43"/>
      <c r="CI65" s="43"/>
      <c r="CJ65" s="43"/>
      <c r="CK65" s="43"/>
      <c r="CL65" s="43"/>
      <c r="CM65" s="43"/>
      <c r="CO65" s="43"/>
      <c r="CP65" s="43"/>
      <c r="CQ65" s="43"/>
      <c r="CR65" s="43"/>
      <c r="CS65" s="43"/>
      <c r="CU65" s="43"/>
      <c r="CV65" s="43"/>
      <c r="CW65" s="43"/>
      <c r="CX65" s="43"/>
      <c r="CY65" s="43"/>
      <c r="DA65" s="43"/>
      <c r="DB65" s="43"/>
      <c r="DC65" s="43"/>
      <c r="DD65" s="43"/>
      <c r="DE65" s="43"/>
      <c r="DG65" s="43"/>
      <c r="DH65" s="43"/>
      <c r="DI65" s="43"/>
      <c r="DJ65" s="43"/>
      <c r="DK65" s="43"/>
      <c r="DM65" s="94"/>
      <c r="DP65" s="43"/>
      <c r="DQ65" s="43"/>
      <c r="DR65" s="43"/>
      <c r="DS65" s="43"/>
      <c r="DT65" s="43"/>
      <c r="DV65" s="43"/>
      <c r="DW65" s="43"/>
      <c r="DX65" s="43"/>
      <c r="DY65" s="43"/>
      <c r="DZ65" s="43"/>
      <c r="EB65" s="43"/>
      <c r="EC65" s="43"/>
      <c r="ED65" s="43"/>
      <c r="EE65" s="43"/>
      <c r="EF65" s="43"/>
      <c r="EH65" s="43"/>
      <c r="EI65" s="43"/>
      <c r="EJ65" s="43"/>
      <c r="EK65" s="43"/>
      <c r="EL65" s="43"/>
      <c r="EN65" s="43"/>
      <c r="EO65" s="43"/>
      <c r="EP65" s="43"/>
      <c r="EQ65" s="43"/>
      <c r="ER65" s="43"/>
      <c r="ET65" s="43"/>
      <c r="EU65" s="43"/>
      <c r="EV65" s="43"/>
      <c r="EW65" s="43"/>
      <c r="EX65" s="43"/>
      <c r="EZ65" s="43"/>
      <c r="FC65" s="43"/>
      <c r="FD65" s="43"/>
      <c r="FE65" s="43"/>
      <c r="FF65" s="43"/>
      <c r="FG65" s="43"/>
      <c r="FI65" s="43"/>
      <c r="FJ65" s="43"/>
      <c r="FK65" s="43"/>
      <c r="FL65" s="43"/>
      <c r="FM65" s="43"/>
      <c r="FO65" s="43"/>
      <c r="FP65" s="43"/>
      <c r="FQ65" s="43"/>
      <c r="FR65" s="43"/>
      <c r="FS65" s="43"/>
      <c r="FU65" s="43"/>
      <c r="FV65" s="43"/>
      <c r="FW65" s="43"/>
      <c r="FX65" s="43"/>
      <c r="FY65" s="43"/>
      <c r="GA65" s="43"/>
      <c r="GB65" s="43"/>
      <c r="GC65" s="43"/>
      <c r="GD65" s="43"/>
      <c r="GE65" s="43"/>
      <c r="GG65" s="43"/>
      <c r="GH65" s="43"/>
      <c r="GI65" s="43"/>
      <c r="GJ65" s="43"/>
      <c r="GK65" s="43"/>
      <c r="GM65" s="94"/>
      <c r="GO65" s="43"/>
      <c r="GP65" s="43"/>
      <c r="GQ65" s="43"/>
      <c r="GR65" s="43"/>
      <c r="GS65" s="43"/>
      <c r="GT65" s="25"/>
      <c r="GU65" s="43"/>
      <c r="GV65" s="43"/>
      <c r="GW65" s="43"/>
      <c r="GX65" s="43"/>
      <c r="GY65" s="43"/>
      <c r="GZ65" s="25"/>
      <c r="HA65" s="43"/>
      <c r="HB65" s="43"/>
      <c r="HC65" s="43"/>
      <c r="HD65" s="43"/>
      <c r="HE65" s="43"/>
      <c r="HF65" s="25"/>
      <c r="HG65" s="43"/>
      <c r="HH65" s="43"/>
      <c r="HI65" s="43"/>
      <c r="HJ65" s="43"/>
      <c r="HK65" s="43"/>
      <c r="HL65" s="25"/>
      <c r="HM65" s="43"/>
      <c r="HN65" s="43"/>
      <c r="HO65" s="43"/>
      <c r="HP65" s="43"/>
      <c r="HQ65" s="43"/>
      <c r="HR65" s="25"/>
      <c r="HS65" s="43"/>
      <c r="HT65" s="43"/>
      <c r="HU65" s="43"/>
      <c r="HV65" s="43"/>
      <c r="HW65" s="43"/>
      <c r="HX65" s="25"/>
      <c r="HY65" s="94"/>
    </row>
    <row r="66" spans="1:233" ht="19.5" customHeight="1">
      <c r="A66" s="542" t="s">
        <v>279</v>
      </c>
      <c r="B66" s="542" t="s">
        <v>277</v>
      </c>
      <c r="C66" s="650" t="s">
        <v>278</v>
      </c>
      <c r="D66" s="651"/>
      <c r="E66" s="429"/>
      <c r="CD66" s="96"/>
    </row>
    <row r="67" spans="1:233" ht="15" customHeight="1">
      <c r="A67" s="74" t="s">
        <v>22</v>
      </c>
      <c r="B67" s="540">
        <v>5</v>
      </c>
      <c r="C67" s="395" t="s">
        <v>299</v>
      </c>
      <c r="D67" s="396"/>
      <c r="CD67" s="96"/>
    </row>
    <row r="68" spans="1:233" ht="15" customHeight="1">
      <c r="A68" s="397" t="s">
        <v>5</v>
      </c>
      <c r="B68" s="541" t="str">
        <f>"0"</f>
        <v>0</v>
      </c>
      <c r="C68" s="395" t="s">
        <v>280</v>
      </c>
      <c r="D68" s="396"/>
      <c r="F68" s="26">
        <v>0</v>
      </c>
    </row>
    <row r="69" spans="1:233">
      <c r="A69" s="398" t="s">
        <v>276</v>
      </c>
      <c r="B69" s="540">
        <v>5</v>
      </c>
      <c r="C69" s="395" t="s">
        <v>300</v>
      </c>
      <c r="D69" s="396"/>
    </row>
    <row r="70" spans="1:233">
      <c r="A70" s="399" t="s">
        <v>131</v>
      </c>
      <c r="B70" s="540">
        <v>3</v>
      </c>
      <c r="C70" s="395" t="s">
        <v>301</v>
      </c>
      <c r="D70" s="396"/>
    </row>
    <row r="72" spans="1:233" ht="19.5" customHeight="1">
      <c r="A72" s="647" t="s">
        <v>356</v>
      </c>
      <c r="B72" s="647"/>
      <c r="C72" s="647"/>
    </row>
    <row r="73" spans="1:233" ht="15.75">
      <c r="A73" s="648" t="s">
        <v>357</v>
      </c>
      <c r="B73" s="648"/>
      <c r="C73" s="539">
        <v>25</v>
      </c>
    </row>
  </sheetData>
  <sheetProtection password="CF7A" sheet="1" scenarios="1" autoFilter="0"/>
  <autoFilter ref="CL13:CM63"/>
  <mergeCells count="97">
    <mergeCell ref="A72:C72"/>
    <mergeCell ref="A73:B73"/>
    <mergeCell ref="C66:D66"/>
    <mergeCell ref="B48:D48"/>
    <mergeCell ref="B47:D47"/>
    <mergeCell ref="B63:D63"/>
    <mergeCell ref="B62:D62"/>
    <mergeCell ref="B56:D56"/>
    <mergeCell ref="B55:D55"/>
    <mergeCell ref="B54:D54"/>
    <mergeCell ref="B61:D61"/>
    <mergeCell ref="B60:D60"/>
    <mergeCell ref="B59:D59"/>
    <mergeCell ref="B58:D58"/>
    <mergeCell ref="B57:D57"/>
    <mergeCell ref="B53:D53"/>
    <mergeCell ref="B30:D30"/>
    <mergeCell ref="B29:D29"/>
    <mergeCell ref="B28:D28"/>
    <mergeCell ref="B27:D27"/>
    <mergeCell ref="B46:D46"/>
    <mergeCell ref="B45:D45"/>
    <mergeCell ref="B44:D44"/>
    <mergeCell ref="B43:D43"/>
    <mergeCell ref="B42:D42"/>
    <mergeCell ref="B41:D41"/>
    <mergeCell ref="B39:D39"/>
    <mergeCell ref="B38:D38"/>
    <mergeCell ref="B37:D37"/>
    <mergeCell ref="B36:D36"/>
    <mergeCell ref="B35:D35"/>
    <mergeCell ref="B34:D34"/>
    <mergeCell ref="B52:D52"/>
    <mergeCell ref="B51:D51"/>
    <mergeCell ref="B50:D50"/>
    <mergeCell ref="B49:D49"/>
    <mergeCell ref="B40:D40"/>
    <mergeCell ref="B33:D33"/>
    <mergeCell ref="B32:D32"/>
    <mergeCell ref="B31:D31"/>
    <mergeCell ref="B14:D14"/>
    <mergeCell ref="B26:D26"/>
    <mergeCell ref="B25:D25"/>
    <mergeCell ref="B24:D24"/>
    <mergeCell ref="B23:D23"/>
    <mergeCell ref="B22:D22"/>
    <mergeCell ref="B21:D21"/>
    <mergeCell ref="B20:D20"/>
    <mergeCell ref="B19:D19"/>
    <mergeCell ref="B18:D18"/>
    <mergeCell ref="B17:D17"/>
    <mergeCell ref="B16:D16"/>
    <mergeCell ref="B15:D15"/>
    <mergeCell ref="A12:D12"/>
    <mergeCell ref="B13:D13"/>
    <mergeCell ref="HM11:HQ11"/>
    <mergeCell ref="FO11:FS11"/>
    <mergeCell ref="FC11:FG11"/>
    <mergeCell ref="EZ9:EZ13"/>
    <mergeCell ref="HA10:HE10"/>
    <mergeCell ref="GA11:GE11"/>
    <mergeCell ref="GG11:GK11"/>
    <mergeCell ref="GO11:GS11"/>
    <mergeCell ref="GU11:GY11"/>
    <mergeCell ref="HA11:HE11"/>
    <mergeCell ref="FI11:FM11"/>
    <mergeCell ref="FC10:FG10"/>
    <mergeCell ref="FI10:FM10"/>
    <mergeCell ref="FO10:FS10"/>
    <mergeCell ref="HY9:HY13"/>
    <mergeCell ref="FC9:GL9"/>
    <mergeCell ref="FU10:FY10"/>
    <mergeCell ref="GA10:GE10"/>
    <mergeCell ref="GG10:GK10"/>
    <mergeCell ref="GO10:GS10"/>
    <mergeCell ref="GU10:GY10"/>
    <mergeCell ref="GM9:GM13"/>
    <mergeCell ref="GO9:HX9"/>
    <mergeCell ref="HG10:HK10"/>
    <mergeCell ref="HM10:HQ10"/>
    <mergeCell ref="HS10:HW10"/>
    <mergeCell ref="FU11:FY11"/>
    <mergeCell ref="L2:CB2"/>
    <mergeCell ref="CD6:CD7"/>
    <mergeCell ref="HS11:HW11"/>
    <mergeCell ref="HG11:HK11"/>
    <mergeCell ref="CD9:CD13"/>
    <mergeCell ref="CC9:CC13"/>
    <mergeCell ref="BX9:BY9"/>
    <mergeCell ref="BZ9:BZ13"/>
    <mergeCell ref="CA9:CA13"/>
    <mergeCell ref="BX10:BX13"/>
    <mergeCell ref="BY10:BY13"/>
    <mergeCell ref="CB9:CB13"/>
    <mergeCell ref="BX8:CB8"/>
    <mergeCell ref="L4:CB4"/>
    <mergeCell ref="F11:BW11"/>
  </mergeCells>
  <conditionalFormatting sqref="CD14:CD63">
    <cfRule type="containsErrors" dxfId="15" priority="4">
      <formula>ISERROR(CD14)</formula>
    </cfRule>
  </conditionalFormatting>
  <conditionalFormatting sqref="A14:B63 F14:CD63">
    <cfRule type="expression" dxfId="14" priority="3">
      <formula>ROW()=CELL("Fila")</formula>
    </cfRule>
  </conditionalFormatting>
  <conditionalFormatting sqref="BX10:BY10 BZ9:CB13 F13:BW13">
    <cfRule type="expression" dxfId="13" priority="2">
      <formula>COLUMN()=CELL("Columna")</formula>
    </cfRule>
  </conditionalFormatting>
  <conditionalFormatting sqref="F14:BW63">
    <cfRule type="cellIs" dxfId="12" priority="13" operator="equal">
      <formula>"T"</formula>
    </cfRule>
    <cfRule type="cellIs" dxfId="11" priority="27" operator="equal">
      <formula>"F"</formula>
    </cfRule>
    <cfRule type="cellIs" dxfId="10" priority="28" operator="equal">
      <formula>"L"</formula>
    </cfRule>
  </conditionalFormatting>
  <conditionalFormatting sqref="BX14:CD63">
    <cfRule type="cellIs" dxfId="9" priority="5" operator="equal">
      <formula>0</formula>
    </cfRule>
  </conditionalFormatting>
  <conditionalFormatting sqref="CC14:CC63">
    <cfRule type="cellIs" dxfId="8" priority="1" operator="equal">
      <formula>"RETIRADO"</formula>
    </cfRule>
  </conditionalFormatting>
  <dataValidations count="2">
    <dataValidation type="whole" allowBlank="1" showErrorMessage="1" errorTitle="Valor incorrecto:" error="Solo se permiten valores entre 1 y 10." sqref="K10 U10 AD10">
      <formula1>1</formula1>
      <formula2>10</formula2>
    </dataValidation>
    <dataValidation type="list" allowBlank="1" showInputMessage="1" showErrorMessage="1" sqref="C73">
      <formula1>"15,20,25,30,35,40,50,60,70"</formula1>
    </dataValidation>
  </dataValidations>
  <pageMargins left="0.78740157480314965" right="0.39370078740157483" top="0.39370078740157483" bottom="0.39370078740157483" header="0.31496062992125984" footer="0.31496062992125984"/>
  <pageSetup scale="46" fitToHeight="0" orientation="portrait" horizontalDpi="4294967294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5" tint="-0.249977111117893"/>
    <pageSetUpPr fitToPage="1"/>
  </sheetPr>
  <dimension ref="A1:KH114"/>
  <sheetViews>
    <sheetView showGridLines="0" showRowColHeaders="0" showZeros="0" zoomScale="85" zoomScaleNormal="85" workbookViewId="0">
      <pane xSplit="4" ySplit="12" topLeftCell="E13" activePane="bottomRight" state="frozen"/>
      <selection activeCell="F13" sqref="F13"/>
      <selection pane="topRight" activeCell="F13" sqref="F13"/>
      <selection pane="bottomLeft" activeCell="F13" sqref="F13"/>
      <selection pane="bottomRight" activeCell="F13" sqref="F13"/>
    </sheetView>
  </sheetViews>
  <sheetFormatPr baseColWidth="10" defaultRowHeight="15" customHeight="1"/>
  <cols>
    <col min="1" max="1" width="4.125" style="1" customWidth="1"/>
    <col min="2" max="2" width="13.75" style="1" customWidth="1"/>
    <col min="3" max="3" width="13" style="1" customWidth="1"/>
    <col min="4" max="4" width="17.75" style="1" customWidth="1"/>
    <col min="5" max="7" width="5.75" style="1" customWidth="1"/>
    <col min="8" max="14" width="5.75" style="1" hidden="1" customWidth="1"/>
    <col min="15" max="15" width="7.625" style="1" customWidth="1"/>
    <col min="16" max="16" width="1.25" style="1" customWidth="1"/>
    <col min="17" max="19" width="5.75" style="1" customWidth="1"/>
    <col min="20" max="31" width="5.75" style="1" hidden="1" customWidth="1"/>
    <col min="32" max="32" width="7.625" style="1" customWidth="1"/>
    <col min="33" max="33" width="1.25" style="1" customWidth="1"/>
    <col min="34" max="36" width="5.75" style="1" customWidth="1"/>
    <col min="37" max="48" width="5.75" style="1" hidden="1" customWidth="1"/>
    <col min="49" max="49" width="7.625" style="1" customWidth="1"/>
    <col min="50" max="50" width="1.25" style="1" customWidth="1"/>
    <col min="51" max="53" width="5.75" style="1" customWidth="1"/>
    <col min="54" max="60" width="5.75" style="1" hidden="1" customWidth="1"/>
    <col min="61" max="61" width="7.625" style="1" customWidth="1"/>
    <col min="62" max="62" width="1.25" style="1" customWidth="1"/>
    <col min="63" max="63" width="5.75" style="1" customWidth="1"/>
    <col min="64" max="64" width="1.25" style="1" customWidth="1"/>
    <col min="65" max="65" width="7.625" style="2" customWidth="1"/>
    <col min="66" max="66" width="7.625" style="195" customWidth="1"/>
    <col min="67" max="67" width="5.75" style="2" customWidth="1"/>
    <col min="68" max="69" width="8.625" style="26" customWidth="1"/>
    <col min="70" max="70" width="5.25" style="26" customWidth="1"/>
    <col min="71" max="71" width="2.25" style="26" customWidth="1"/>
    <col min="72" max="72" width="5.25" style="424" customWidth="1"/>
    <col min="73" max="74" width="5.375" style="424" customWidth="1"/>
    <col min="75" max="76" width="7.5" style="82" hidden="1" customWidth="1"/>
    <col min="77" max="77" width="7.5" style="38" hidden="1" customWidth="1"/>
    <col min="78" max="78" width="5" style="38" hidden="1" customWidth="1"/>
    <col min="79" max="80" width="5" style="26" hidden="1" customWidth="1"/>
    <col min="81" max="93" width="12.875" style="26" customWidth="1"/>
    <col min="94" max="94" width="5" style="26" customWidth="1"/>
    <col min="95" max="95" width="1.375" style="26" customWidth="1"/>
    <col min="96" max="100" width="5" style="26" customWidth="1"/>
    <col min="101" max="101" width="1.375" style="1" customWidth="1"/>
    <col min="102" max="151" width="5" style="1" customWidth="1"/>
    <col min="152" max="16384" width="11" style="1"/>
  </cols>
  <sheetData>
    <row r="1" spans="1:294" ht="21.75" customHeight="1">
      <c r="A1" s="56"/>
      <c r="C1" s="42" t="str">
        <f>IF(FILIACIÓN!C1="","",FILIACIÓN!C1)</f>
        <v xml:space="preserve">UNIDAD EDUCATIVA </v>
      </c>
    </row>
    <row r="2" spans="1:294" ht="21.75" customHeight="1" thickBot="1">
      <c r="A2" s="56"/>
      <c r="C2" s="42" t="str">
        <f>IF(FILIACIÓN!C2="","",FILIACIÓN!C2)</f>
        <v>NIVEL SECUNDARIA COMUNITARIA PRODUCTIVA</v>
      </c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B2" s="253"/>
      <c r="AC2" s="253"/>
      <c r="AD2" s="253"/>
      <c r="AE2" s="253"/>
      <c r="AF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W2" s="253"/>
      <c r="AX2" s="244"/>
      <c r="BG2" s="253"/>
      <c r="BH2" s="253"/>
      <c r="BI2" s="253"/>
      <c r="BJ2" s="244"/>
      <c r="BK2" s="244"/>
      <c r="BL2" s="244"/>
      <c r="CC2" s="258"/>
      <c r="CD2" s="286" t="s">
        <v>24</v>
      </c>
      <c r="CF2" s="699" t="s">
        <v>183</v>
      </c>
      <c r="CG2" s="699"/>
      <c r="CH2" s="699"/>
      <c r="CI2" s="699"/>
      <c r="CJ2" s="699"/>
      <c r="CK2" s="699"/>
      <c r="CL2" s="699"/>
      <c r="CM2" s="699"/>
      <c r="CN2" s="691" t="s">
        <v>189</v>
      </c>
      <c r="CO2" s="692"/>
    </row>
    <row r="3" spans="1:294" ht="21.75" customHeight="1">
      <c r="A3" s="56"/>
      <c r="C3" s="243" t="str">
        <f>IF(FILIACIÓN!E3="","",FILIACIÓN!E3)</f>
        <v xml:space="preserve">SIE </v>
      </c>
      <c r="E3" s="745" t="s">
        <v>234</v>
      </c>
      <c r="F3" s="745"/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745"/>
      <c r="Z3" s="745"/>
      <c r="AA3" s="745"/>
      <c r="AB3" s="745"/>
      <c r="AC3" s="745"/>
      <c r="AD3" s="745"/>
      <c r="AE3" s="745"/>
      <c r="AF3" s="745"/>
      <c r="AG3" s="745"/>
      <c r="AH3" s="745"/>
      <c r="AI3" s="745"/>
      <c r="AJ3" s="745"/>
      <c r="AK3" s="745"/>
      <c r="AL3" s="745"/>
      <c r="AM3" s="745"/>
      <c r="AN3" s="745"/>
      <c r="AO3" s="745"/>
      <c r="AP3" s="745"/>
      <c r="AQ3" s="745"/>
      <c r="AR3" s="745"/>
      <c r="AS3" s="745"/>
      <c r="AT3" s="745"/>
      <c r="AU3" s="745"/>
      <c r="AV3" s="745"/>
      <c r="AW3" s="745"/>
      <c r="AX3" s="745"/>
      <c r="AY3" s="745"/>
      <c r="AZ3" s="745"/>
      <c r="BA3" s="745"/>
      <c r="BB3" s="745"/>
      <c r="BC3" s="745"/>
      <c r="BD3" s="745"/>
      <c r="BE3" s="745"/>
      <c r="BF3" s="745"/>
      <c r="BG3" s="745"/>
      <c r="BH3" s="745"/>
      <c r="BI3" s="745"/>
      <c r="BJ3" s="28"/>
      <c r="BK3" s="28"/>
      <c r="BL3" s="28"/>
      <c r="BM3" s="28"/>
      <c r="BN3" s="28"/>
      <c r="BO3" s="106"/>
      <c r="CC3" s="249" t="s">
        <v>14</v>
      </c>
      <c r="CD3" s="287">
        <f>COUNTIF($BP$13:$BP$62,"EFECTIVO")</f>
        <v>0</v>
      </c>
      <c r="CF3" s="696" t="s">
        <v>184</v>
      </c>
      <c r="CG3" s="696"/>
      <c r="CH3" s="697" t="s">
        <v>190</v>
      </c>
      <c r="CI3" s="697"/>
      <c r="CJ3" s="698" t="s">
        <v>185</v>
      </c>
      <c r="CK3" s="698"/>
      <c r="CL3" s="695" t="s">
        <v>244</v>
      </c>
      <c r="CM3" s="695"/>
      <c r="CN3" s="693"/>
      <c r="CO3" s="694"/>
    </row>
    <row r="4" spans="1:294" ht="21.75" customHeight="1" thickBot="1">
      <c r="A4" s="56"/>
      <c r="C4" s="42" t="str">
        <f>IF(FILIACIÓN!C3="","",FILIACIÓN!C3)</f>
        <v xml:space="preserve">TURNO </v>
      </c>
      <c r="E4" s="745"/>
      <c r="F4" s="745"/>
      <c r="G4" s="745"/>
      <c r="H4" s="745"/>
      <c r="I4" s="745"/>
      <c r="J4" s="745"/>
      <c r="K4" s="745"/>
      <c r="L4" s="745"/>
      <c r="M4" s="745"/>
      <c r="N4" s="745"/>
      <c r="O4" s="745"/>
      <c r="P4" s="745"/>
      <c r="Q4" s="745"/>
      <c r="R4" s="745"/>
      <c r="S4" s="745"/>
      <c r="T4" s="745"/>
      <c r="U4" s="745"/>
      <c r="V4" s="745"/>
      <c r="W4" s="745"/>
      <c r="X4" s="745"/>
      <c r="Y4" s="745"/>
      <c r="Z4" s="745"/>
      <c r="AA4" s="745"/>
      <c r="AB4" s="745"/>
      <c r="AC4" s="745"/>
      <c r="AD4" s="745"/>
      <c r="AE4" s="745"/>
      <c r="AF4" s="745"/>
      <c r="AG4" s="745"/>
      <c r="AH4" s="745"/>
      <c r="AI4" s="745"/>
      <c r="AJ4" s="745"/>
      <c r="AK4" s="745"/>
      <c r="AL4" s="745"/>
      <c r="AM4" s="745"/>
      <c r="AN4" s="745"/>
      <c r="AO4" s="745"/>
      <c r="AP4" s="745"/>
      <c r="AQ4" s="745"/>
      <c r="AR4" s="745"/>
      <c r="AS4" s="745"/>
      <c r="AT4" s="745"/>
      <c r="AU4" s="745"/>
      <c r="AV4" s="745"/>
      <c r="AW4" s="745"/>
      <c r="AX4" s="745"/>
      <c r="AY4" s="745"/>
      <c r="AZ4" s="745"/>
      <c r="BA4" s="745"/>
      <c r="BB4" s="745"/>
      <c r="BC4" s="745"/>
      <c r="BD4" s="745"/>
      <c r="BE4" s="745"/>
      <c r="BF4" s="745"/>
      <c r="BG4" s="745"/>
      <c r="BH4" s="745"/>
      <c r="BI4" s="745"/>
      <c r="BJ4" s="28"/>
      <c r="BK4" s="28"/>
      <c r="BL4" s="28"/>
      <c r="BM4" s="254"/>
      <c r="BN4" s="254"/>
      <c r="BO4" s="255"/>
      <c r="CC4" s="250" t="s">
        <v>18</v>
      </c>
      <c r="CD4" s="288">
        <f>COUNTIF($BQ$13:$BQ$62,"APROBADO")</f>
        <v>0</v>
      </c>
      <c r="CF4" s="276" t="s">
        <v>24</v>
      </c>
      <c r="CG4" s="276" t="s">
        <v>20</v>
      </c>
      <c r="CH4" s="277" t="s">
        <v>24</v>
      </c>
      <c r="CI4" s="277" t="s">
        <v>20</v>
      </c>
      <c r="CJ4" s="278" t="s">
        <v>24</v>
      </c>
      <c r="CK4" s="278" t="s">
        <v>20</v>
      </c>
      <c r="CL4" s="279" t="s">
        <v>24</v>
      </c>
      <c r="CM4" s="279" t="s">
        <v>20</v>
      </c>
      <c r="CN4" s="275"/>
      <c r="CO4" s="275" t="s">
        <v>20</v>
      </c>
    </row>
    <row r="5" spans="1:294" ht="21.75" customHeight="1" thickBot="1">
      <c r="C5" s="243" t="str">
        <f>IF(FILIACIÓN!C4="","",FILIACIÓN!C4)</f>
        <v>GESTION 2025</v>
      </c>
      <c r="E5" s="684" t="s">
        <v>258</v>
      </c>
      <c r="F5" s="685"/>
      <c r="G5" s="685"/>
      <c r="H5" s="685"/>
      <c r="I5" s="685"/>
      <c r="J5" s="685"/>
      <c r="K5" s="685"/>
      <c r="L5" s="685"/>
      <c r="M5" s="685"/>
      <c r="N5" s="685"/>
      <c r="O5" s="685"/>
      <c r="P5" s="685"/>
      <c r="Q5" s="685"/>
      <c r="R5" s="685"/>
      <c r="S5" s="685"/>
      <c r="T5" s="685"/>
      <c r="U5" s="685"/>
      <c r="V5" s="685"/>
      <c r="W5" s="685"/>
      <c r="X5" s="685"/>
      <c r="Y5" s="685"/>
      <c r="Z5" s="685"/>
      <c r="AA5" s="685"/>
      <c r="AB5" s="685"/>
      <c r="AC5" s="685"/>
      <c r="AD5" s="685"/>
      <c r="AE5" s="685"/>
      <c r="AF5" s="685"/>
      <c r="AG5" s="685"/>
      <c r="AH5" s="685"/>
      <c r="AI5" s="685"/>
      <c r="AJ5" s="685"/>
      <c r="AK5" s="685"/>
      <c r="AL5" s="685"/>
      <c r="AM5" s="685"/>
      <c r="AN5" s="685"/>
      <c r="AO5" s="685"/>
      <c r="AP5" s="685"/>
      <c r="AQ5" s="685"/>
      <c r="AR5" s="685"/>
      <c r="AS5" s="685"/>
      <c r="AT5" s="685"/>
      <c r="AU5" s="685"/>
      <c r="AV5" s="685"/>
      <c r="AW5" s="685"/>
      <c r="AX5" s="685"/>
      <c r="AY5" s="685"/>
      <c r="AZ5" s="685"/>
      <c r="BA5" s="685"/>
      <c r="BB5" s="685"/>
      <c r="BC5" s="685"/>
      <c r="BD5" s="685"/>
      <c r="BE5" s="685"/>
      <c r="BF5" s="685"/>
      <c r="BG5" s="685"/>
      <c r="BH5" s="685"/>
      <c r="BI5" s="685"/>
      <c r="BJ5" s="685"/>
      <c r="BK5" s="686"/>
      <c r="BL5" s="34"/>
      <c r="BM5" s="723" t="s">
        <v>191</v>
      </c>
      <c r="BN5" s="724"/>
      <c r="BO5" s="724"/>
      <c r="BP5" s="710" t="s">
        <v>3</v>
      </c>
      <c r="BQ5" s="710" t="s">
        <v>17</v>
      </c>
      <c r="BR5" s="707" t="s">
        <v>312</v>
      </c>
      <c r="BS5" s="461"/>
      <c r="BT5" s="111"/>
      <c r="BU5" s="30"/>
      <c r="BV5" s="30"/>
      <c r="BW5" s="112"/>
      <c r="BX5" s="112"/>
      <c r="CC5" s="251" t="s">
        <v>19</v>
      </c>
      <c r="CD5" s="289">
        <f>COUNTIF($BQ$13:$BQ$62,"REPROBADO")</f>
        <v>0</v>
      </c>
      <c r="CF5" s="280">
        <f>COUNTIF(BO13:BO62,"ED")</f>
        <v>0</v>
      </c>
      <c r="CG5" s="280" t="e">
        <f>ROUND((CF5*100)/CN5,1)</f>
        <v>#DIV/0!</v>
      </c>
      <c r="CH5" s="280">
        <f>COUNTIF(BO13:BO62,"DA")</f>
        <v>0</v>
      </c>
      <c r="CI5" s="280" t="e">
        <f>ROUND((CH5*100)/CN5,1)</f>
        <v>#DIV/0!</v>
      </c>
      <c r="CJ5" s="280">
        <f>COUNTIF(BO13:BO62,"DO")</f>
        <v>0</v>
      </c>
      <c r="CK5" s="242" t="e">
        <f>ROUND((CJ5*100)/CN5,1)</f>
        <v>#DIV/0!</v>
      </c>
      <c r="CL5" s="280">
        <f>COUNTIF(BO13:BO62,"DP")</f>
        <v>0</v>
      </c>
      <c r="CM5" s="280" t="e">
        <f>ROUND((CL5*100)/CN5,1)</f>
        <v>#DIV/0!</v>
      </c>
      <c r="CN5" s="280">
        <f>SUM(CF5,CH5,CJ5,CL5)</f>
        <v>0</v>
      </c>
      <c r="CO5" s="280" t="e">
        <f>SUM(CG5,CI5,CK5,CM5)</f>
        <v>#DIV/0!</v>
      </c>
    </row>
    <row r="6" spans="1:294" s="31" customFormat="1" ht="20.25" customHeight="1" thickBot="1">
      <c r="A6" s="14"/>
      <c r="B6" s="4" t="str">
        <f>FILIACIÓN!E5</f>
        <v>AÑO DE ESCOLARIDAD:</v>
      </c>
      <c r="C6" s="257" t="str">
        <f>IF(FILIACIÓN!F5="","",FILIACIÓN!F5)</f>
        <v/>
      </c>
      <c r="D6" s="32"/>
      <c r="E6" s="688" t="s">
        <v>290</v>
      </c>
      <c r="F6" s="689"/>
      <c r="G6" s="689"/>
      <c r="H6" s="689"/>
      <c r="I6" s="689"/>
      <c r="J6" s="689"/>
      <c r="K6" s="689"/>
      <c r="L6" s="689"/>
      <c r="M6" s="689"/>
      <c r="N6" s="689"/>
      <c r="O6" s="690"/>
      <c r="P6" s="14"/>
      <c r="Q6" s="688" t="s">
        <v>291</v>
      </c>
      <c r="R6" s="689"/>
      <c r="S6" s="689"/>
      <c r="T6" s="689"/>
      <c r="U6" s="689"/>
      <c r="V6" s="689"/>
      <c r="W6" s="689"/>
      <c r="X6" s="689"/>
      <c r="Y6" s="689"/>
      <c r="Z6" s="689"/>
      <c r="AA6" s="689"/>
      <c r="AB6" s="689"/>
      <c r="AC6" s="689"/>
      <c r="AD6" s="689"/>
      <c r="AE6" s="689"/>
      <c r="AF6" s="690"/>
      <c r="AG6" s="14"/>
      <c r="AH6" s="688" t="s">
        <v>292</v>
      </c>
      <c r="AI6" s="689"/>
      <c r="AJ6" s="689"/>
      <c r="AK6" s="689"/>
      <c r="AL6" s="689"/>
      <c r="AM6" s="689"/>
      <c r="AN6" s="689"/>
      <c r="AO6" s="689"/>
      <c r="AP6" s="689"/>
      <c r="AQ6" s="689"/>
      <c r="AR6" s="689"/>
      <c r="AS6" s="689"/>
      <c r="AT6" s="689"/>
      <c r="AU6" s="689"/>
      <c r="AV6" s="689"/>
      <c r="AW6" s="690"/>
      <c r="AX6" s="14"/>
      <c r="AY6" s="688" t="s">
        <v>293</v>
      </c>
      <c r="AZ6" s="689"/>
      <c r="BA6" s="689"/>
      <c r="BB6" s="689"/>
      <c r="BC6" s="689"/>
      <c r="BD6" s="689"/>
      <c r="BE6" s="689"/>
      <c r="BF6" s="689"/>
      <c r="BG6" s="689"/>
      <c r="BH6" s="689"/>
      <c r="BI6" s="690"/>
      <c r="BJ6" s="14"/>
      <c r="BK6" s="430">
        <v>5</v>
      </c>
      <c r="BL6" s="14"/>
      <c r="BM6" s="714" t="s">
        <v>240</v>
      </c>
      <c r="BN6" s="714" t="s">
        <v>241</v>
      </c>
      <c r="BO6" s="717" t="s">
        <v>180</v>
      </c>
      <c r="BP6" s="710"/>
      <c r="BQ6" s="710"/>
      <c r="BR6" s="708"/>
      <c r="BS6" s="461"/>
      <c r="BT6" s="111"/>
      <c r="BU6" s="30"/>
      <c r="BV6" s="30"/>
      <c r="BW6" s="112"/>
      <c r="BX6" s="112"/>
      <c r="BY6" s="112"/>
      <c r="BZ6" s="39"/>
      <c r="CB6" s="30"/>
      <c r="CC6" s="252" t="s">
        <v>9</v>
      </c>
      <c r="CD6" s="290">
        <f>SUM(CD4:CD5)</f>
        <v>0</v>
      </c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/>
      <c r="FF6" s="14"/>
      <c r="FG6" s="14"/>
      <c r="FH6" s="14"/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/>
      <c r="GV6" s="14"/>
      <c r="GW6" s="14"/>
      <c r="GX6" s="14"/>
      <c r="GY6" s="14"/>
      <c r="GZ6" s="14"/>
      <c r="HA6" s="14"/>
      <c r="HB6" s="14"/>
      <c r="HC6" s="14"/>
      <c r="HD6" s="14"/>
      <c r="HE6" s="14"/>
      <c r="HF6" s="14"/>
      <c r="HG6" s="14"/>
      <c r="HH6" s="14"/>
      <c r="HI6" s="14"/>
      <c r="HJ6" s="14"/>
      <c r="HK6" s="14"/>
      <c r="HL6" s="14"/>
      <c r="HM6" s="14"/>
      <c r="HN6" s="14"/>
      <c r="HO6" s="14"/>
      <c r="HP6" s="14"/>
      <c r="HQ6" s="14"/>
      <c r="HR6" s="14"/>
      <c r="HS6" s="14"/>
      <c r="HT6" s="14"/>
      <c r="HU6" s="14"/>
      <c r="HV6" s="14"/>
      <c r="HW6" s="14"/>
      <c r="HX6" s="14"/>
      <c r="HY6" s="14"/>
      <c r="HZ6" s="14"/>
      <c r="IA6" s="14"/>
      <c r="IB6" s="14"/>
      <c r="IC6" s="14"/>
      <c r="ID6" s="14"/>
      <c r="IE6" s="14"/>
      <c r="IF6" s="14"/>
      <c r="IG6" s="14"/>
      <c r="IH6" s="14"/>
      <c r="II6" s="14"/>
      <c r="IJ6" s="14"/>
      <c r="IK6" s="14"/>
      <c r="IL6" s="14"/>
      <c r="IM6" s="14"/>
      <c r="IN6" s="14"/>
      <c r="IO6" s="14"/>
      <c r="IP6" s="14"/>
      <c r="IQ6" s="14"/>
      <c r="IR6" s="14"/>
      <c r="IS6" s="14"/>
      <c r="IT6" s="14"/>
      <c r="IU6" s="14"/>
      <c r="IV6" s="14"/>
      <c r="IW6" s="14"/>
      <c r="IX6" s="14"/>
      <c r="IY6" s="14"/>
      <c r="IZ6" s="14"/>
      <c r="JA6" s="14"/>
      <c r="JB6" s="14"/>
      <c r="JC6" s="14"/>
      <c r="JD6" s="14"/>
      <c r="JE6" s="14"/>
      <c r="JF6" s="14"/>
      <c r="JG6" s="14"/>
      <c r="JH6" s="14"/>
      <c r="JI6" s="14"/>
      <c r="JJ6" s="14"/>
      <c r="JK6" s="14"/>
      <c r="JL6" s="14"/>
      <c r="JM6" s="14"/>
      <c r="JN6" s="14"/>
      <c r="JO6" s="14"/>
      <c r="JP6" s="14"/>
      <c r="JQ6" s="14"/>
      <c r="JR6" s="14"/>
      <c r="JS6" s="14"/>
      <c r="JT6" s="14"/>
      <c r="JU6" s="14"/>
      <c r="JV6" s="14"/>
      <c r="JW6" s="14"/>
      <c r="JX6" s="14"/>
      <c r="JY6" s="14"/>
      <c r="JZ6" s="14"/>
      <c r="KA6" s="14"/>
      <c r="KB6" s="14"/>
      <c r="KC6" s="14"/>
      <c r="KD6" s="14"/>
      <c r="KE6" s="14"/>
      <c r="KF6" s="14"/>
      <c r="KG6" s="14"/>
      <c r="KH6" s="14"/>
    </row>
    <row r="7" spans="1:294" ht="20.25" customHeight="1">
      <c r="B7" s="4" t="str">
        <f>FILIACIÓN!E6</f>
        <v>CAMPO:</v>
      </c>
      <c r="C7" s="257" t="str">
        <f>IF(FILIACIÓN!F6="","",FILIACIÓN!F6)</f>
        <v/>
      </c>
      <c r="D7" s="6"/>
      <c r="E7" s="673" t="s">
        <v>21</v>
      </c>
      <c r="F7" s="681"/>
      <c r="G7" s="681"/>
      <c r="H7" s="681"/>
      <c r="I7" s="681"/>
      <c r="J7" s="681"/>
      <c r="K7" s="681"/>
      <c r="L7" s="681"/>
      <c r="M7" s="670"/>
      <c r="N7" s="667"/>
      <c r="O7" s="753" t="s">
        <v>186</v>
      </c>
      <c r="Q7" s="747"/>
      <c r="R7" s="755"/>
      <c r="S7" s="755"/>
      <c r="T7" s="755"/>
      <c r="U7" s="755"/>
      <c r="V7" s="755"/>
      <c r="W7" s="755"/>
      <c r="X7" s="755"/>
      <c r="Y7" s="755"/>
      <c r="Z7" s="755"/>
      <c r="AA7" s="670"/>
      <c r="AB7" s="670"/>
      <c r="AC7" s="670"/>
      <c r="AD7" s="670"/>
      <c r="AE7" s="667"/>
      <c r="AF7" s="676" t="s">
        <v>186</v>
      </c>
      <c r="AH7" s="678"/>
      <c r="AI7" s="670"/>
      <c r="AJ7" s="670"/>
      <c r="AK7" s="670"/>
      <c r="AL7" s="670"/>
      <c r="AM7" s="670"/>
      <c r="AN7" s="670"/>
      <c r="AO7" s="670"/>
      <c r="AP7" s="670"/>
      <c r="AQ7" s="670"/>
      <c r="AR7" s="670"/>
      <c r="AS7" s="670"/>
      <c r="AT7" s="670"/>
      <c r="AU7" s="670"/>
      <c r="AV7" s="720"/>
      <c r="AW7" s="676" t="s">
        <v>186</v>
      </c>
      <c r="AY7" s="725"/>
      <c r="AZ7" s="681"/>
      <c r="BA7" s="681"/>
      <c r="BB7" s="681"/>
      <c r="BC7" s="681"/>
      <c r="BD7" s="681"/>
      <c r="BE7" s="681"/>
      <c r="BF7" s="681"/>
      <c r="BG7" s="670"/>
      <c r="BH7" s="670"/>
      <c r="BI7" s="676" t="s">
        <v>186</v>
      </c>
      <c r="BK7" s="703" t="s">
        <v>294</v>
      </c>
      <c r="BM7" s="715"/>
      <c r="BN7" s="715"/>
      <c r="BO7" s="718"/>
      <c r="BP7" s="710"/>
      <c r="BQ7" s="710"/>
      <c r="BR7" s="708"/>
      <c r="BS7" s="461"/>
      <c r="BT7" s="111"/>
      <c r="BU7" s="30"/>
      <c r="BV7" s="30"/>
      <c r="BW7" s="112"/>
      <c r="BX7" s="112"/>
      <c r="BY7" s="112"/>
      <c r="CA7" s="111"/>
    </row>
    <row r="8" spans="1:294" ht="20.25" customHeight="1">
      <c r="B8" s="4" t="str">
        <f>FILIACIÓN!E7</f>
        <v>ÁREA:</v>
      </c>
      <c r="C8" s="257" t="str">
        <f>IF(FILIACIÓN!F7="","",FILIACIÓN!F7)</f>
        <v/>
      </c>
      <c r="D8" s="6"/>
      <c r="E8" s="674"/>
      <c r="F8" s="682"/>
      <c r="G8" s="682"/>
      <c r="H8" s="682"/>
      <c r="I8" s="682"/>
      <c r="J8" s="682"/>
      <c r="K8" s="682"/>
      <c r="L8" s="682"/>
      <c r="M8" s="671"/>
      <c r="N8" s="668"/>
      <c r="O8" s="753"/>
      <c r="Q8" s="748"/>
      <c r="R8" s="756"/>
      <c r="S8" s="756"/>
      <c r="T8" s="756"/>
      <c r="U8" s="756"/>
      <c r="V8" s="756"/>
      <c r="W8" s="756"/>
      <c r="X8" s="756"/>
      <c r="Y8" s="756"/>
      <c r="Z8" s="756"/>
      <c r="AA8" s="671"/>
      <c r="AB8" s="671"/>
      <c r="AC8" s="671"/>
      <c r="AD8" s="671"/>
      <c r="AE8" s="668"/>
      <c r="AF8" s="676"/>
      <c r="AH8" s="679"/>
      <c r="AI8" s="671"/>
      <c r="AJ8" s="671"/>
      <c r="AK8" s="671"/>
      <c r="AL8" s="671"/>
      <c r="AM8" s="671"/>
      <c r="AN8" s="671"/>
      <c r="AO8" s="671"/>
      <c r="AP8" s="671"/>
      <c r="AQ8" s="671"/>
      <c r="AR8" s="671"/>
      <c r="AS8" s="671"/>
      <c r="AT8" s="671"/>
      <c r="AU8" s="671"/>
      <c r="AV8" s="721"/>
      <c r="AW8" s="676"/>
      <c r="AY8" s="726"/>
      <c r="AZ8" s="682"/>
      <c r="BA8" s="682"/>
      <c r="BB8" s="682"/>
      <c r="BC8" s="682"/>
      <c r="BD8" s="682"/>
      <c r="BE8" s="682"/>
      <c r="BF8" s="682"/>
      <c r="BG8" s="671"/>
      <c r="BH8" s="671"/>
      <c r="BI8" s="676"/>
      <c r="BK8" s="704"/>
      <c r="BM8" s="715"/>
      <c r="BN8" s="715"/>
      <c r="BO8" s="718"/>
      <c r="BP8" s="710"/>
      <c r="BQ8" s="710"/>
      <c r="BR8" s="708"/>
      <c r="BS8" s="461"/>
      <c r="BT8" s="111"/>
      <c r="BU8" s="30"/>
      <c r="BV8" s="30"/>
      <c r="BW8" s="112"/>
      <c r="BX8" s="112"/>
      <c r="BY8" s="112"/>
      <c r="CA8" s="111"/>
    </row>
    <row r="9" spans="1:294" ht="20.25" customHeight="1">
      <c r="B9" s="27" t="str">
        <f>FILIACIÓN!E8</f>
        <v>MAESTRO/A:</v>
      </c>
      <c r="C9" s="257" t="str">
        <f>IF(FILIACIÓN!F8="","",FILIACIÓN!F8)</f>
        <v>nombre maestro</v>
      </c>
      <c r="E9" s="674"/>
      <c r="F9" s="682"/>
      <c r="G9" s="682"/>
      <c r="H9" s="682"/>
      <c r="I9" s="682"/>
      <c r="J9" s="682"/>
      <c r="K9" s="682"/>
      <c r="L9" s="682"/>
      <c r="M9" s="671"/>
      <c r="N9" s="668"/>
      <c r="O9" s="753"/>
      <c r="Q9" s="748"/>
      <c r="R9" s="756"/>
      <c r="S9" s="756"/>
      <c r="T9" s="756"/>
      <c r="U9" s="756"/>
      <c r="V9" s="756"/>
      <c r="W9" s="756"/>
      <c r="X9" s="756"/>
      <c r="Y9" s="756"/>
      <c r="Z9" s="756"/>
      <c r="AA9" s="671"/>
      <c r="AB9" s="671"/>
      <c r="AC9" s="671"/>
      <c r="AD9" s="671"/>
      <c r="AE9" s="668"/>
      <c r="AF9" s="676"/>
      <c r="AH9" s="679"/>
      <c r="AI9" s="671"/>
      <c r="AJ9" s="671"/>
      <c r="AK9" s="671"/>
      <c r="AL9" s="671"/>
      <c r="AM9" s="671"/>
      <c r="AN9" s="671"/>
      <c r="AO9" s="671"/>
      <c r="AP9" s="671"/>
      <c r="AQ9" s="671"/>
      <c r="AR9" s="671"/>
      <c r="AS9" s="671"/>
      <c r="AT9" s="671"/>
      <c r="AU9" s="671"/>
      <c r="AV9" s="721"/>
      <c r="AW9" s="676"/>
      <c r="AY9" s="726"/>
      <c r="AZ9" s="682"/>
      <c r="BA9" s="682"/>
      <c r="BB9" s="682"/>
      <c r="BC9" s="682"/>
      <c r="BD9" s="682"/>
      <c r="BE9" s="682"/>
      <c r="BF9" s="682"/>
      <c r="BG9" s="671"/>
      <c r="BH9" s="671"/>
      <c r="BI9" s="676"/>
      <c r="BK9" s="704"/>
      <c r="BM9" s="715"/>
      <c r="BN9" s="715"/>
      <c r="BO9" s="718"/>
      <c r="BP9" s="710"/>
      <c r="BQ9" s="710"/>
      <c r="BR9" s="708"/>
      <c r="BS9" s="461"/>
      <c r="BT9" s="111"/>
      <c r="BU9" s="30"/>
      <c r="BV9" s="30"/>
      <c r="BW9" s="39"/>
      <c r="BX9" s="39"/>
      <c r="BY9" s="112"/>
      <c r="CA9" s="111"/>
    </row>
    <row r="10" spans="1:294" ht="45.75" customHeight="1">
      <c r="E10" s="674"/>
      <c r="F10" s="682"/>
      <c r="G10" s="682"/>
      <c r="H10" s="682"/>
      <c r="I10" s="682"/>
      <c r="J10" s="682"/>
      <c r="K10" s="682"/>
      <c r="L10" s="682"/>
      <c r="M10" s="671"/>
      <c r="N10" s="668"/>
      <c r="O10" s="753"/>
      <c r="Q10" s="748"/>
      <c r="R10" s="756"/>
      <c r="S10" s="756"/>
      <c r="T10" s="756"/>
      <c r="U10" s="756"/>
      <c r="V10" s="756"/>
      <c r="W10" s="756"/>
      <c r="X10" s="756"/>
      <c r="Y10" s="756"/>
      <c r="Z10" s="756"/>
      <c r="AA10" s="671"/>
      <c r="AB10" s="671"/>
      <c r="AC10" s="671"/>
      <c r="AD10" s="671"/>
      <c r="AE10" s="668"/>
      <c r="AF10" s="676"/>
      <c r="AH10" s="679"/>
      <c r="AI10" s="671"/>
      <c r="AJ10" s="671"/>
      <c r="AK10" s="671"/>
      <c r="AL10" s="671"/>
      <c r="AM10" s="671"/>
      <c r="AN10" s="671"/>
      <c r="AO10" s="671"/>
      <c r="AP10" s="671"/>
      <c r="AQ10" s="671"/>
      <c r="AR10" s="671"/>
      <c r="AS10" s="671"/>
      <c r="AT10" s="671"/>
      <c r="AU10" s="671"/>
      <c r="AV10" s="721"/>
      <c r="AW10" s="676"/>
      <c r="AY10" s="726"/>
      <c r="AZ10" s="682"/>
      <c r="BA10" s="682"/>
      <c r="BB10" s="682"/>
      <c r="BC10" s="682"/>
      <c r="BD10" s="682"/>
      <c r="BE10" s="682"/>
      <c r="BF10" s="682"/>
      <c r="BG10" s="671"/>
      <c r="BH10" s="671"/>
      <c r="BI10" s="676"/>
      <c r="BK10" s="704"/>
      <c r="BM10" s="715"/>
      <c r="BN10" s="715"/>
      <c r="BO10" s="718"/>
      <c r="BP10" s="710"/>
      <c r="BQ10" s="710"/>
      <c r="BR10" s="708"/>
      <c r="BS10" s="467"/>
      <c r="BT10" s="711" t="s">
        <v>285</v>
      </c>
      <c r="BU10" s="712"/>
      <c r="BV10" s="750" t="s">
        <v>288</v>
      </c>
      <c r="BW10" s="39"/>
      <c r="BX10" s="39"/>
      <c r="BY10" s="112"/>
      <c r="CA10" s="706" t="s">
        <v>312</v>
      </c>
    </row>
    <row r="11" spans="1:294" ht="40.5" customHeight="1" thickBot="1">
      <c r="A11" s="313"/>
      <c r="B11" s="313"/>
      <c r="C11" s="313"/>
      <c r="D11" s="314" t="b">
        <v>0</v>
      </c>
      <c r="E11" s="674"/>
      <c r="F11" s="682"/>
      <c r="G11" s="682"/>
      <c r="H11" s="682"/>
      <c r="I11" s="682"/>
      <c r="J11" s="682"/>
      <c r="K11" s="682"/>
      <c r="L11" s="682"/>
      <c r="M11" s="671"/>
      <c r="N11" s="668"/>
      <c r="O11" s="753"/>
      <c r="Q11" s="748"/>
      <c r="R11" s="756"/>
      <c r="S11" s="756"/>
      <c r="T11" s="756"/>
      <c r="U11" s="756"/>
      <c r="V11" s="756"/>
      <c r="W11" s="756"/>
      <c r="X11" s="756"/>
      <c r="Y11" s="756"/>
      <c r="Z11" s="756"/>
      <c r="AA11" s="671"/>
      <c r="AB11" s="671"/>
      <c r="AC11" s="671"/>
      <c r="AD11" s="671"/>
      <c r="AE11" s="668"/>
      <c r="AF11" s="676"/>
      <c r="AH11" s="679"/>
      <c r="AI11" s="671"/>
      <c r="AJ11" s="671"/>
      <c r="AK11" s="671"/>
      <c r="AL11" s="671"/>
      <c r="AM11" s="671"/>
      <c r="AN11" s="671"/>
      <c r="AO11" s="671"/>
      <c r="AP11" s="671"/>
      <c r="AQ11" s="671"/>
      <c r="AR11" s="671"/>
      <c r="AS11" s="671"/>
      <c r="AT11" s="671"/>
      <c r="AU11" s="671"/>
      <c r="AV11" s="721"/>
      <c r="AW11" s="676"/>
      <c r="AY11" s="726"/>
      <c r="AZ11" s="682"/>
      <c r="BA11" s="682"/>
      <c r="BB11" s="682"/>
      <c r="BC11" s="682"/>
      <c r="BD11" s="682"/>
      <c r="BE11" s="682"/>
      <c r="BF11" s="682"/>
      <c r="BG11" s="671"/>
      <c r="BH11" s="671"/>
      <c r="BI11" s="676"/>
      <c r="BK11" s="704"/>
      <c r="BM11" s="715"/>
      <c r="BN11" s="715"/>
      <c r="BO11" s="718"/>
      <c r="BP11" s="710"/>
      <c r="BQ11" s="746"/>
      <c r="BR11" s="708"/>
      <c r="BS11" s="467"/>
      <c r="BT11" s="710" t="s">
        <v>286</v>
      </c>
      <c r="BU11" s="707" t="s">
        <v>287</v>
      </c>
      <c r="BV11" s="751"/>
      <c r="BW11" s="39"/>
      <c r="BX11" s="39"/>
      <c r="BY11" s="112"/>
      <c r="CA11" s="706"/>
    </row>
    <row r="12" spans="1:294" ht="31.5" customHeight="1" thickBot="1">
      <c r="A12" s="116" t="s">
        <v>0</v>
      </c>
      <c r="B12" s="664" t="s">
        <v>200</v>
      </c>
      <c r="C12" s="665"/>
      <c r="D12" s="666"/>
      <c r="E12" s="675"/>
      <c r="F12" s="683"/>
      <c r="G12" s="683"/>
      <c r="H12" s="683"/>
      <c r="I12" s="683"/>
      <c r="J12" s="683"/>
      <c r="K12" s="683"/>
      <c r="L12" s="683"/>
      <c r="M12" s="672"/>
      <c r="N12" s="669"/>
      <c r="O12" s="754"/>
      <c r="Q12" s="749"/>
      <c r="R12" s="757"/>
      <c r="S12" s="757"/>
      <c r="T12" s="757"/>
      <c r="U12" s="757"/>
      <c r="V12" s="757"/>
      <c r="W12" s="757"/>
      <c r="X12" s="757"/>
      <c r="Y12" s="757"/>
      <c r="Z12" s="757"/>
      <c r="AA12" s="672"/>
      <c r="AB12" s="672"/>
      <c r="AC12" s="672"/>
      <c r="AD12" s="672"/>
      <c r="AE12" s="669"/>
      <c r="AF12" s="677"/>
      <c r="AG12" s="45"/>
      <c r="AH12" s="680"/>
      <c r="AI12" s="672"/>
      <c r="AJ12" s="672"/>
      <c r="AK12" s="672"/>
      <c r="AL12" s="672"/>
      <c r="AM12" s="672"/>
      <c r="AN12" s="672"/>
      <c r="AO12" s="672"/>
      <c r="AP12" s="672"/>
      <c r="AQ12" s="672"/>
      <c r="AR12" s="672"/>
      <c r="AS12" s="672"/>
      <c r="AT12" s="672"/>
      <c r="AU12" s="672"/>
      <c r="AV12" s="722"/>
      <c r="AW12" s="677"/>
      <c r="AY12" s="727"/>
      <c r="AZ12" s="683"/>
      <c r="BA12" s="683"/>
      <c r="BB12" s="683"/>
      <c r="BC12" s="683"/>
      <c r="BD12" s="683"/>
      <c r="BE12" s="683"/>
      <c r="BF12" s="683"/>
      <c r="BG12" s="672"/>
      <c r="BH12" s="672"/>
      <c r="BI12" s="677"/>
      <c r="BK12" s="705"/>
      <c r="BM12" s="716"/>
      <c r="BN12" s="716"/>
      <c r="BO12" s="719"/>
      <c r="BP12" s="710"/>
      <c r="BQ12" s="746"/>
      <c r="BR12" s="709"/>
      <c r="BS12" s="467"/>
      <c r="BT12" s="710"/>
      <c r="BU12" s="709"/>
      <c r="BV12" s="752"/>
      <c r="BW12" s="39"/>
      <c r="BX12" s="39"/>
      <c r="BY12" s="112"/>
      <c r="CA12" s="706"/>
      <c r="CB12" s="26" t="s">
        <v>254</v>
      </c>
      <c r="CC12" s="38" t="s">
        <v>253</v>
      </c>
    </row>
    <row r="13" spans="1:294" s="31" customFormat="1" ht="27" customHeight="1">
      <c r="A13" s="91">
        <f>--SUBTOTAL(2,CC$12:CC13)</f>
        <v>1</v>
      </c>
      <c r="B13" s="739" t="str">
        <f>IF(FILIACIÓN!B11="","",UPPER(FILIACIÓN!B11))</f>
        <v/>
      </c>
      <c r="C13" s="740"/>
      <c r="D13" s="741"/>
      <c r="E13" s="464" t="str">
        <f>'ASISTENCIA 3'!CD14</f>
        <v/>
      </c>
      <c r="F13" s="543"/>
      <c r="G13" s="543"/>
      <c r="H13" s="543"/>
      <c r="I13" s="543"/>
      <c r="J13" s="543"/>
      <c r="K13" s="543"/>
      <c r="L13" s="543"/>
      <c r="M13" s="88"/>
      <c r="N13" s="88"/>
      <c r="O13" s="343" t="str">
        <f>IFERROR(IF(COUNTIF(E13:N13,"&gt;0")&gt;0,AVERAGE(E13:N13),""),"")</f>
        <v/>
      </c>
      <c r="P13" s="59"/>
      <c r="Q13" s="118"/>
      <c r="R13" s="501"/>
      <c r="S13" s="501"/>
      <c r="T13" s="501"/>
      <c r="U13" s="501"/>
      <c r="V13" s="501"/>
      <c r="W13" s="501"/>
      <c r="X13" s="501"/>
      <c r="Y13" s="501"/>
      <c r="Z13" s="501"/>
      <c r="AA13" s="119"/>
      <c r="AB13" s="88"/>
      <c r="AC13" s="88"/>
      <c r="AD13" s="88"/>
      <c r="AE13" s="88"/>
      <c r="AF13" s="343" t="str">
        <f>IFERROR(IF(COUNTIF(Q13:AE13,"&gt;0")&gt;0,AVERAGE(Q13:AE13),""),"")</f>
        <v/>
      </c>
      <c r="AG13" s="59"/>
      <c r="AH13" s="118"/>
      <c r="AI13" s="501"/>
      <c r="AJ13" s="501"/>
      <c r="AK13" s="501"/>
      <c r="AL13" s="501"/>
      <c r="AM13" s="501"/>
      <c r="AN13" s="501"/>
      <c r="AO13" s="501"/>
      <c r="AP13" s="501"/>
      <c r="AQ13" s="501"/>
      <c r="AR13" s="119"/>
      <c r="AS13" s="119"/>
      <c r="AT13" s="119"/>
      <c r="AU13" s="119"/>
      <c r="AV13" s="88"/>
      <c r="AW13" s="343" t="str">
        <f>IFERROR(IF(COUNTIF(AH13:AV13,"&gt;0")&gt;0,AVERAGE(AH13:AV13),""),"")</f>
        <v/>
      </c>
      <c r="AX13" s="59"/>
      <c r="AY13" s="118"/>
      <c r="AZ13" s="501"/>
      <c r="BA13" s="501"/>
      <c r="BB13" s="501"/>
      <c r="BC13" s="501"/>
      <c r="BD13" s="501"/>
      <c r="BE13" s="501"/>
      <c r="BF13" s="501"/>
      <c r="BG13" s="88"/>
      <c r="BH13" s="88"/>
      <c r="BI13" s="343" t="str">
        <f>IFERROR(IF(COUNTIF(AY13:BH13,"&gt;0")&gt;0,AVERAGE(AY13:BH13),""),"")</f>
        <v/>
      </c>
      <c r="BJ13" s="338"/>
      <c r="BK13" s="431"/>
      <c r="BL13" s="340"/>
      <c r="BM13" s="196" t="str">
        <f>IF(SUM(O13,AF13,AW13,BI13,BK13)=0,"",ROUND(SUM(O13,AF13,AW13,BI13,BK13),0))</f>
        <v/>
      </c>
      <c r="BN13" s="462" t="str">
        <f>IF(SUM(O13,AF13,AW13,BI13,BK13)=0,"",SUM(O13,AF13,AW13,BI13,BK13))</f>
        <v/>
      </c>
      <c r="BO13" s="191" t="str">
        <f>IF(AND(BM13&gt;=1,BM13&lt;=50),"ED",IF(AND(BM13&gt;=51,BM13&lt;=68),"DA",IF(AND(BM13&gt;=69,BM13&lt;=84),"DO",IF(AND(BM13&gt;=85,BM13&lt;=100),"DP"," "))))</f>
        <v xml:space="preserve"> </v>
      </c>
      <c r="BP13" s="460" t="str">
        <f>FILIACIÓN!Y11</f>
        <v/>
      </c>
      <c r="BQ13" s="460" t="str">
        <f>IF(OR(BM13="",BM13=0),"",IF(BM13&gt;=51,"APROBADO","REPROBADO"))</f>
        <v/>
      </c>
      <c r="BR13" s="460" t="str">
        <f>IF(OR(BN13="",BN13=0),"",_xlfn.RANK.EQ(BN13,$BN$13:$BN$62))</f>
        <v/>
      </c>
      <c r="BS13" s="460"/>
      <c r="BT13" s="426" t="str">
        <f>'1ER TRIMESTRE'!BM13</f>
        <v/>
      </c>
      <c r="BU13" s="426" t="str">
        <f>'2DO TRIMESTRE'!BM13</f>
        <v/>
      </c>
      <c r="BV13" s="425" t="str">
        <f>IF(OR(BT13="",BU13="",BM13=""),"",ROUND(AVERAGE(BT13,BU13,BM13),0))</f>
        <v/>
      </c>
      <c r="BW13" s="82"/>
      <c r="BX13" s="82"/>
      <c r="BY13" s="82"/>
      <c r="BZ13" s="39"/>
      <c r="CA13" s="531" t="str">
        <f>IF(OR(BN13="",BN13=0),"",_xlfn.RANK.EQ(BN13,$BN$13:$BN$62))</f>
        <v/>
      </c>
      <c r="CB13" s="30" t="str">
        <f>IF(FILIACIÓN!Z11="MOSTRAR","1","")</f>
        <v/>
      </c>
      <c r="CC13" s="39">
        <v>1</v>
      </c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/>
      <c r="GV13" s="14"/>
      <c r="GW13" s="14"/>
      <c r="GX13" s="14"/>
      <c r="GY13" s="14"/>
      <c r="GZ13" s="14"/>
      <c r="HA13" s="14"/>
      <c r="HB13" s="14"/>
      <c r="HC13" s="14"/>
      <c r="HD13" s="14"/>
      <c r="HE13" s="14"/>
      <c r="HF13" s="14"/>
      <c r="HG13" s="14"/>
      <c r="HH13" s="14"/>
      <c r="HI13" s="14"/>
      <c r="HJ13" s="14"/>
      <c r="HK13" s="14"/>
      <c r="HL13" s="14"/>
      <c r="HM13" s="14"/>
      <c r="HN13" s="14"/>
      <c r="HO13" s="14"/>
      <c r="HP13" s="14"/>
      <c r="HQ13" s="14"/>
      <c r="HR13" s="14"/>
      <c r="HS13" s="14"/>
      <c r="HT13" s="14"/>
      <c r="HU13" s="14"/>
      <c r="HV13" s="14"/>
      <c r="HW13" s="14"/>
      <c r="HX13" s="14"/>
      <c r="HY13" s="14"/>
      <c r="HZ13" s="14"/>
      <c r="IA13" s="14"/>
      <c r="IB13" s="14"/>
      <c r="IC13" s="14"/>
      <c r="ID13" s="14"/>
      <c r="IE13" s="14"/>
      <c r="IF13" s="14"/>
      <c r="IG13" s="14"/>
      <c r="IH13" s="14"/>
      <c r="II13" s="14"/>
      <c r="IJ13" s="14"/>
      <c r="IK13" s="14"/>
      <c r="IL13" s="14"/>
      <c r="IM13" s="14"/>
      <c r="IN13" s="14"/>
      <c r="IO13" s="14"/>
      <c r="IP13" s="14"/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I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</row>
    <row r="14" spans="1:294" s="31" customFormat="1" ht="27" customHeight="1">
      <c r="A14" s="92">
        <f>--SUBTOTAL(2,CC$12:CC14)</f>
        <v>2</v>
      </c>
      <c r="B14" s="736" t="str">
        <f>IF(FILIACIÓN!B12="","",UPPER(FILIACIÓN!B12))</f>
        <v/>
      </c>
      <c r="C14" s="737"/>
      <c r="D14" s="738"/>
      <c r="E14" s="465" t="str">
        <f>'ASISTENCIA 3'!CD15</f>
        <v/>
      </c>
      <c r="F14" s="544"/>
      <c r="G14" s="544"/>
      <c r="H14" s="544"/>
      <c r="I14" s="544"/>
      <c r="J14" s="544"/>
      <c r="K14" s="544"/>
      <c r="L14" s="544"/>
      <c r="M14" s="89"/>
      <c r="N14" s="89"/>
      <c r="O14" s="344" t="str">
        <f t="shared" ref="O14:O62" si="0">IFERROR(IF(COUNTIF(E14:N14,"&gt;0")&gt;0,AVERAGE(E14:N14),""),"")</f>
        <v/>
      </c>
      <c r="P14" s="59"/>
      <c r="Q14" s="120"/>
      <c r="R14" s="502"/>
      <c r="S14" s="502"/>
      <c r="T14" s="502"/>
      <c r="U14" s="502"/>
      <c r="V14" s="502"/>
      <c r="W14" s="502"/>
      <c r="X14" s="502"/>
      <c r="Y14" s="502"/>
      <c r="Z14" s="502"/>
      <c r="AA14" s="121"/>
      <c r="AB14" s="89"/>
      <c r="AC14" s="89"/>
      <c r="AD14" s="89"/>
      <c r="AE14" s="89"/>
      <c r="AF14" s="344" t="str">
        <f t="shared" ref="AF14:AF62" si="1">IFERROR(IF(COUNTIF(Q14:AE14,"&gt;0")&gt;0,AVERAGE(Q14:AE14),""),"")</f>
        <v/>
      </c>
      <c r="AG14" s="59"/>
      <c r="AH14" s="120"/>
      <c r="AI14" s="502"/>
      <c r="AJ14" s="502"/>
      <c r="AK14" s="502"/>
      <c r="AL14" s="502"/>
      <c r="AM14" s="502"/>
      <c r="AN14" s="502"/>
      <c r="AO14" s="502"/>
      <c r="AP14" s="502"/>
      <c r="AQ14" s="502"/>
      <c r="AR14" s="121"/>
      <c r="AS14" s="121"/>
      <c r="AT14" s="121"/>
      <c r="AU14" s="121"/>
      <c r="AV14" s="89"/>
      <c r="AW14" s="344" t="str">
        <f t="shared" ref="AW14:AW62" si="2">IFERROR(IF(COUNTIF(AH14:AV14,"&gt;0")&gt;0,AVERAGE(AH14:AV14),""),"")</f>
        <v/>
      </c>
      <c r="AX14" s="59"/>
      <c r="AY14" s="120"/>
      <c r="AZ14" s="502"/>
      <c r="BA14" s="502"/>
      <c r="BB14" s="502"/>
      <c r="BC14" s="502"/>
      <c r="BD14" s="502"/>
      <c r="BE14" s="502"/>
      <c r="BF14" s="502"/>
      <c r="BG14" s="89"/>
      <c r="BH14" s="89"/>
      <c r="BI14" s="344" t="str">
        <f t="shared" ref="BI14:BI62" si="3">IFERROR(IF(COUNTIF(AY14:BH14,"&gt;0")&gt;0,AVERAGE(AY14:BH14),""),"")</f>
        <v/>
      </c>
      <c r="BJ14" s="338"/>
      <c r="BK14" s="432"/>
      <c r="BL14" s="340"/>
      <c r="BM14" s="196" t="str">
        <f t="shared" ref="BM14:BM62" si="4">IF(SUM(O14,AF14,AW14,BI14,BK14)=0,"",ROUND(SUM(O14,AF14,AW14,BI14,BK14),0))</f>
        <v/>
      </c>
      <c r="BN14" s="462" t="str">
        <f t="shared" ref="BN14:BN62" si="5">IF(SUM(O14,AF14,AW14,BI14,BK14)=0,"",SUM(O14,AF14,AW14,BI14,BK14))</f>
        <v/>
      </c>
      <c r="BO14" s="192" t="str">
        <f t="shared" ref="BO14:BO61" si="6">IF(AND(BM14&gt;=1,BM14&lt;=50),"ED",IF(AND(BM14&gt;=51,BM14&lt;=68),"DA",IF(AND(BM14&gt;=69,BM14&lt;=84),"DO",IF(AND(BM14&gt;=85,BM14&lt;=100),"DP"," "))))</f>
        <v xml:space="preserve"> </v>
      </c>
      <c r="BP14" s="460" t="str">
        <f>FILIACIÓN!Y12</f>
        <v/>
      </c>
      <c r="BQ14" s="460" t="str">
        <f t="shared" ref="BQ14:BQ62" si="7">IF(OR(BM14="",BM14=0),"",IF(BM14&gt;=51,"APROBADO","REPROBADO"))</f>
        <v/>
      </c>
      <c r="BR14" s="460" t="str">
        <f t="shared" ref="BR14:BR62" si="8">IF(OR(BN14="",BN14=0),"",_xlfn.RANK.EQ(BN14,$BN$13:$BN$62))</f>
        <v/>
      </c>
      <c r="BS14" s="460"/>
      <c r="BT14" s="425" t="str">
        <f>'1ER TRIMESTRE'!BM14</f>
        <v/>
      </c>
      <c r="BU14" s="425" t="str">
        <f>'2DO TRIMESTRE'!BM14</f>
        <v/>
      </c>
      <c r="BV14" s="425" t="str">
        <f t="shared" ref="BV14:BV62" si="9">IF(OR(BT14="",BU14="",BM14=""),"",ROUND(AVERAGE(BT14,BU14,BM14),0))</f>
        <v/>
      </c>
      <c r="BW14" s="82"/>
      <c r="BX14" s="82"/>
      <c r="BY14" s="82"/>
      <c r="BZ14" s="39"/>
      <c r="CA14" s="531" t="str">
        <f t="shared" ref="CA14:CA61" si="10">IF(OR(BN14="",BN14=0),"",_xlfn.RANK.EQ(BN14,$BN$13:$BN$62))</f>
        <v/>
      </c>
      <c r="CB14" s="30" t="str">
        <f>IF(FILIACIÓN!Z12="MOSTRAR","1","")</f>
        <v/>
      </c>
      <c r="CC14" s="39">
        <v>2</v>
      </c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/>
      <c r="GV14" s="14"/>
      <c r="GW14" s="14"/>
      <c r="GX14" s="14"/>
      <c r="GY14" s="14"/>
      <c r="GZ14" s="14"/>
      <c r="HA14" s="14"/>
      <c r="HB14" s="14"/>
      <c r="HC14" s="14"/>
      <c r="HD14" s="14"/>
      <c r="HE14" s="14"/>
      <c r="HF14" s="14"/>
      <c r="HG14" s="14"/>
      <c r="HH14" s="14"/>
      <c r="HI14" s="14"/>
      <c r="HJ14" s="14"/>
      <c r="HK14" s="14"/>
      <c r="HL14" s="14"/>
      <c r="HM14" s="14"/>
      <c r="HN14" s="14"/>
      <c r="HO14" s="14"/>
      <c r="HP14" s="14"/>
      <c r="HQ14" s="14"/>
      <c r="HR14" s="14"/>
      <c r="HS14" s="14"/>
      <c r="HT14" s="14"/>
      <c r="HU14" s="14"/>
      <c r="HV14" s="14"/>
      <c r="HW14" s="14"/>
      <c r="HX14" s="14"/>
      <c r="HY14" s="14"/>
      <c r="HZ14" s="14"/>
      <c r="IA14" s="14"/>
      <c r="IB14" s="14"/>
      <c r="IC14" s="14"/>
      <c r="ID14" s="14"/>
      <c r="IE14" s="14"/>
      <c r="IF14" s="14"/>
      <c r="IG14" s="14"/>
      <c r="IH14" s="14"/>
      <c r="II14" s="14"/>
      <c r="IJ14" s="14"/>
      <c r="IK14" s="14"/>
      <c r="IL14" s="14"/>
      <c r="IM14" s="14"/>
      <c r="IN14" s="14"/>
      <c r="IO14" s="14"/>
      <c r="IP14" s="14"/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</row>
    <row r="15" spans="1:294" s="31" customFormat="1" ht="27" customHeight="1">
      <c r="A15" s="92">
        <f>--SUBTOTAL(2,CC$12:CC15)</f>
        <v>3</v>
      </c>
      <c r="B15" s="733" t="str">
        <f>IF(FILIACIÓN!B13="","",UPPER(FILIACIÓN!B13))</f>
        <v/>
      </c>
      <c r="C15" s="734"/>
      <c r="D15" s="735"/>
      <c r="E15" s="465" t="str">
        <f>'ASISTENCIA 3'!CD16</f>
        <v/>
      </c>
      <c r="F15" s="544"/>
      <c r="G15" s="544"/>
      <c r="H15" s="544"/>
      <c r="I15" s="544"/>
      <c r="J15" s="544"/>
      <c r="K15" s="544"/>
      <c r="L15" s="544"/>
      <c r="M15" s="89"/>
      <c r="N15" s="89"/>
      <c r="O15" s="344" t="str">
        <f t="shared" si="0"/>
        <v/>
      </c>
      <c r="P15" s="59"/>
      <c r="Q15" s="120"/>
      <c r="R15" s="502"/>
      <c r="S15" s="502"/>
      <c r="T15" s="502"/>
      <c r="U15" s="502"/>
      <c r="V15" s="502"/>
      <c r="W15" s="502"/>
      <c r="X15" s="502"/>
      <c r="Y15" s="502"/>
      <c r="Z15" s="502"/>
      <c r="AA15" s="121"/>
      <c r="AB15" s="89"/>
      <c r="AC15" s="89"/>
      <c r="AD15" s="89"/>
      <c r="AE15" s="89"/>
      <c r="AF15" s="344" t="str">
        <f t="shared" si="1"/>
        <v/>
      </c>
      <c r="AG15" s="59"/>
      <c r="AH15" s="120"/>
      <c r="AI15" s="502"/>
      <c r="AJ15" s="502"/>
      <c r="AK15" s="502"/>
      <c r="AL15" s="502"/>
      <c r="AM15" s="502"/>
      <c r="AN15" s="502"/>
      <c r="AO15" s="502"/>
      <c r="AP15" s="502"/>
      <c r="AQ15" s="502"/>
      <c r="AR15" s="121"/>
      <c r="AS15" s="121"/>
      <c r="AT15" s="121"/>
      <c r="AU15" s="121"/>
      <c r="AV15" s="89"/>
      <c r="AW15" s="344" t="str">
        <f t="shared" si="2"/>
        <v/>
      </c>
      <c r="AX15" s="59"/>
      <c r="AY15" s="120"/>
      <c r="AZ15" s="502"/>
      <c r="BA15" s="502"/>
      <c r="BB15" s="502"/>
      <c r="BC15" s="502"/>
      <c r="BD15" s="502"/>
      <c r="BE15" s="502"/>
      <c r="BF15" s="502"/>
      <c r="BG15" s="89"/>
      <c r="BH15" s="89"/>
      <c r="BI15" s="344" t="str">
        <f t="shared" si="3"/>
        <v/>
      </c>
      <c r="BJ15" s="338"/>
      <c r="BK15" s="432"/>
      <c r="BL15" s="340"/>
      <c r="BM15" s="196" t="str">
        <f t="shared" si="4"/>
        <v/>
      </c>
      <c r="BN15" s="462" t="str">
        <f t="shared" si="5"/>
        <v/>
      </c>
      <c r="BO15" s="192" t="str">
        <f t="shared" si="6"/>
        <v xml:space="preserve"> </v>
      </c>
      <c r="BP15" s="460" t="str">
        <f>FILIACIÓN!Y13</f>
        <v/>
      </c>
      <c r="BQ15" s="460" t="str">
        <f t="shared" si="7"/>
        <v/>
      </c>
      <c r="BR15" s="460" t="str">
        <f t="shared" si="8"/>
        <v/>
      </c>
      <c r="BS15" s="460"/>
      <c r="BT15" s="425" t="str">
        <f>'1ER TRIMESTRE'!BM15</f>
        <v/>
      </c>
      <c r="BU15" s="425" t="str">
        <f>'2DO TRIMESTRE'!BM15</f>
        <v/>
      </c>
      <c r="BV15" s="425" t="str">
        <f t="shared" si="9"/>
        <v/>
      </c>
      <c r="BW15" s="82"/>
      <c r="BX15" s="82"/>
      <c r="BY15" s="82"/>
      <c r="BZ15" s="39"/>
      <c r="CA15" s="531" t="str">
        <f t="shared" si="10"/>
        <v/>
      </c>
      <c r="CB15" s="30" t="str">
        <f>IF(FILIACIÓN!Z13="MOSTRAR","1","")</f>
        <v/>
      </c>
      <c r="CC15" s="39">
        <v>3</v>
      </c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</row>
    <row r="16" spans="1:294" s="31" customFormat="1" ht="27" customHeight="1">
      <c r="A16" s="92">
        <f>--SUBTOTAL(2,CC$12:CC16)</f>
        <v>4</v>
      </c>
      <c r="B16" s="736" t="str">
        <f>IF(FILIACIÓN!B14="","",UPPER(FILIACIÓN!B14))</f>
        <v/>
      </c>
      <c r="C16" s="737"/>
      <c r="D16" s="738"/>
      <c r="E16" s="465" t="str">
        <f>'ASISTENCIA 3'!CD17</f>
        <v/>
      </c>
      <c r="F16" s="544"/>
      <c r="G16" s="544"/>
      <c r="H16" s="544"/>
      <c r="I16" s="544"/>
      <c r="J16" s="544"/>
      <c r="K16" s="544"/>
      <c r="L16" s="544"/>
      <c r="M16" s="89"/>
      <c r="N16" s="89"/>
      <c r="O16" s="344" t="str">
        <f t="shared" si="0"/>
        <v/>
      </c>
      <c r="P16" s="59"/>
      <c r="Q16" s="120"/>
      <c r="R16" s="502"/>
      <c r="S16" s="502"/>
      <c r="T16" s="502"/>
      <c r="U16" s="502"/>
      <c r="V16" s="502"/>
      <c r="W16" s="502"/>
      <c r="X16" s="502"/>
      <c r="Y16" s="502"/>
      <c r="Z16" s="502"/>
      <c r="AA16" s="121"/>
      <c r="AB16" s="89"/>
      <c r="AC16" s="89"/>
      <c r="AD16" s="89"/>
      <c r="AE16" s="89"/>
      <c r="AF16" s="344" t="str">
        <f t="shared" si="1"/>
        <v/>
      </c>
      <c r="AG16" s="59"/>
      <c r="AH16" s="120"/>
      <c r="AI16" s="502"/>
      <c r="AJ16" s="502"/>
      <c r="AK16" s="502"/>
      <c r="AL16" s="502"/>
      <c r="AM16" s="502"/>
      <c r="AN16" s="502"/>
      <c r="AO16" s="502"/>
      <c r="AP16" s="502"/>
      <c r="AQ16" s="502"/>
      <c r="AR16" s="121"/>
      <c r="AS16" s="121"/>
      <c r="AT16" s="121"/>
      <c r="AU16" s="121"/>
      <c r="AV16" s="89"/>
      <c r="AW16" s="344" t="str">
        <f t="shared" si="2"/>
        <v/>
      </c>
      <c r="AX16" s="59"/>
      <c r="AY16" s="120"/>
      <c r="AZ16" s="502"/>
      <c r="BA16" s="502"/>
      <c r="BB16" s="502"/>
      <c r="BC16" s="502"/>
      <c r="BD16" s="502"/>
      <c r="BE16" s="502"/>
      <c r="BF16" s="502"/>
      <c r="BG16" s="89"/>
      <c r="BH16" s="89"/>
      <c r="BI16" s="344" t="str">
        <f t="shared" si="3"/>
        <v/>
      </c>
      <c r="BJ16" s="338"/>
      <c r="BK16" s="432"/>
      <c r="BL16" s="340"/>
      <c r="BM16" s="196" t="str">
        <f t="shared" si="4"/>
        <v/>
      </c>
      <c r="BN16" s="462" t="str">
        <f t="shared" si="5"/>
        <v/>
      </c>
      <c r="BO16" s="192" t="str">
        <f t="shared" si="6"/>
        <v xml:space="preserve"> </v>
      </c>
      <c r="BP16" s="460" t="str">
        <f>FILIACIÓN!Y14</f>
        <v/>
      </c>
      <c r="BQ16" s="460" t="str">
        <f t="shared" si="7"/>
        <v/>
      </c>
      <c r="BR16" s="460" t="str">
        <f t="shared" si="8"/>
        <v/>
      </c>
      <c r="BS16" s="460"/>
      <c r="BT16" s="425" t="str">
        <f>'1ER TRIMESTRE'!BM16</f>
        <v/>
      </c>
      <c r="BU16" s="425" t="str">
        <f>'2DO TRIMESTRE'!BM16</f>
        <v/>
      </c>
      <c r="BV16" s="425" t="str">
        <f t="shared" si="9"/>
        <v/>
      </c>
      <c r="BW16" s="82"/>
      <c r="BX16" s="82"/>
      <c r="BY16" s="82"/>
      <c r="BZ16" s="39"/>
      <c r="CA16" s="531" t="str">
        <f t="shared" si="10"/>
        <v/>
      </c>
      <c r="CB16" s="30" t="str">
        <f>IF(FILIACIÓN!Z14="MOSTRAR","1","")</f>
        <v/>
      </c>
      <c r="CC16" s="39">
        <v>4</v>
      </c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/>
      <c r="GV16" s="14"/>
      <c r="GW16" s="14"/>
      <c r="GX16" s="14"/>
      <c r="GY16" s="14"/>
      <c r="GZ16" s="14"/>
      <c r="HA16" s="14"/>
      <c r="HB16" s="14"/>
      <c r="HC16" s="14"/>
      <c r="HD16" s="14"/>
      <c r="HE16" s="14"/>
      <c r="HF16" s="14"/>
      <c r="HG16" s="14"/>
      <c r="HH16" s="14"/>
      <c r="HI16" s="14"/>
      <c r="HJ16" s="14"/>
      <c r="HK16" s="14"/>
      <c r="HL16" s="14"/>
      <c r="HM16" s="14"/>
      <c r="HN16" s="14"/>
      <c r="HO16" s="14"/>
      <c r="HP16" s="14"/>
      <c r="HQ16" s="14"/>
      <c r="HR16" s="14"/>
      <c r="HS16" s="14"/>
      <c r="HT16" s="14"/>
      <c r="HU16" s="14"/>
      <c r="HV16" s="14"/>
      <c r="HW16" s="14"/>
      <c r="HX16" s="14"/>
      <c r="HY16" s="14"/>
      <c r="HZ16" s="14"/>
      <c r="IA16" s="14"/>
      <c r="IB16" s="14"/>
      <c r="IC16" s="14"/>
      <c r="ID16" s="14"/>
      <c r="IE16" s="14"/>
      <c r="IF16" s="14"/>
      <c r="IG16" s="14"/>
      <c r="IH16" s="14"/>
      <c r="II16" s="14"/>
      <c r="IJ16" s="14"/>
      <c r="IK16" s="14"/>
      <c r="IL16" s="14"/>
      <c r="IM16" s="14"/>
      <c r="IN16" s="14"/>
      <c r="IO16" s="14"/>
      <c r="IP16" s="14"/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</row>
    <row r="17" spans="1:294" s="31" customFormat="1" ht="27" customHeight="1">
      <c r="A17" s="92">
        <f>--SUBTOTAL(2,CC$12:CC17)</f>
        <v>5</v>
      </c>
      <c r="B17" s="736" t="str">
        <f>IF(FILIACIÓN!B15="","",UPPER(FILIACIÓN!B15))</f>
        <v/>
      </c>
      <c r="C17" s="737"/>
      <c r="D17" s="738"/>
      <c r="E17" s="465" t="str">
        <f>'ASISTENCIA 3'!CD18</f>
        <v/>
      </c>
      <c r="F17" s="544"/>
      <c r="G17" s="544"/>
      <c r="H17" s="544"/>
      <c r="I17" s="544"/>
      <c r="J17" s="544"/>
      <c r="K17" s="544"/>
      <c r="L17" s="544"/>
      <c r="M17" s="89"/>
      <c r="N17" s="89"/>
      <c r="O17" s="344" t="str">
        <f t="shared" si="0"/>
        <v/>
      </c>
      <c r="P17" s="59"/>
      <c r="Q17" s="120"/>
      <c r="R17" s="502"/>
      <c r="S17" s="502"/>
      <c r="T17" s="502"/>
      <c r="U17" s="502"/>
      <c r="V17" s="502"/>
      <c r="W17" s="502"/>
      <c r="X17" s="502"/>
      <c r="Y17" s="502"/>
      <c r="Z17" s="502"/>
      <c r="AA17" s="121"/>
      <c r="AB17" s="89"/>
      <c r="AC17" s="89"/>
      <c r="AD17" s="89"/>
      <c r="AE17" s="89"/>
      <c r="AF17" s="344" t="str">
        <f t="shared" si="1"/>
        <v/>
      </c>
      <c r="AG17" s="59"/>
      <c r="AH17" s="120"/>
      <c r="AI17" s="502"/>
      <c r="AJ17" s="502"/>
      <c r="AK17" s="502"/>
      <c r="AL17" s="502"/>
      <c r="AM17" s="502"/>
      <c r="AN17" s="502"/>
      <c r="AO17" s="502"/>
      <c r="AP17" s="502"/>
      <c r="AQ17" s="502"/>
      <c r="AR17" s="121"/>
      <c r="AS17" s="121"/>
      <c r="AT17" s="121"/>
      <c r="AU17" s="121"/>
      <c r="AV17" s="89"/>
      <c r="AW17" s="344" t="str">
        <f t="shared" si="2"/>
        <v/>
      </c>
      <c r="AX17" s="59"/>
      <c r="AY17" s="120"/>
      <c r="AZ17" s="502"/>
      <c r="BA17" s="502"/>
      <c r="BB17" s="502"/>
      <c r="BC17" s="502"/>
      <c r="BD17" s="502"/>
      <c r="BE17" s="502"/>
      <c r="BF17" s="502"/>
      <c r="BG17" s="89"/>
      <c r="BH17" s="89"/>
      <c r="BI17" s="344" t="str">
        <f t="shared" si="3"/>
        <v/>
      </c>
      <c r="BJ17" s="338"/>
      <c r="BK17" s="432"/>
      <c r="BL17" s="340"/>
      <c r="BM17" s="196" t="str">
        <f t="shared" si="4"/>
        <v/>
      </c>
      <c r="BN17" s="462" t="str">
        <f t="shared" si="5"/>
        <v/>
      </c>
      <c r="BO17" s="192" t="str">
        <f t="shared" si="6"/>
        <v xml:space="preserve"> </v>
      </c>
      <c r="BP17" s="460" t="str">
        <f>FILIACIÓN!Y15</f>
        <v/>
      </c>
      <c r="BQ17" s="460" t="str">
        <f t="shared" si="7"/>
        <v/>
      </c>
      <c r="BR17" s="460" t="str">
        <f t="shared" si="8"/>
        <v/>
      </c>
      <c r="BS17" s="460"/>
      <c r="BT17" s="425" t="str">
        <f>'1ER TRIMESTRE'!BM17</f>
        <v/>
      </c>
      <c r="BU17" s="425" t="str">
        <f>'2DO TRIMESTRE'!BM17</f>
        <v/>
      </c>
      <c r="BV17" s="425" t="str">
        <f t="shared" si="9"/>
        <v/>
      </c>
      <c r="BW17" s="82"/>
      <c r="BX17" s="82"/>
      <c r="BY17" s="82"/>
      <c r="BZ17" s="39"/>
      <c r="CA17" s="531" t="str">
        <f t="shared" si="10"/>
        <v/>
      </c>
      <c r="CB17" s="30" t="str">
        <f>IF(FILIACIÓN!Z15="MOSTRAR","1","")</f>
        <v/>
      </c>
      <c r="CC17" s="39">
        <v>5</v>
      </c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</row>
    <row r="18" spans="1:294" s="31" customFormat="1" ht="27" customHeight="1">
      <c r="A18" s="92">
        <f>--SUBTOTAL(2,CC$12:CC18)</f>
        <v>6</v>
      </c>
      <c r="B18" s="733" t="str">
        <f>IF(FILIACIÓN!B16="","",UPPER(FILIACIÓN!B16))</f>
        <v/>
      </c>
      <c r="C18" s="734"/>
      <c r="D18" s="735"/>
      <c r="E18" s="465" t="str">
        <f>'ASISTENCIA 3'!CD19</f>
        <v/>
      </c>
      <c r="F18" s="544"/>
      <c r="G18" s="544"/>
      <c r="H18" s="544"/>
      <c r="I18" s="544"/>
      <c r="J18" s="544"/>
      <c r="K18" s="544"/>
      <c r="L18" s="544"/>
      <c r="M18" s="89"/>
      <c r="N18" s="89"/>
      <c r="O18" s="344" t="str">
        <f t="shared" si="0"/>
        <v/>
      </c>
      <c r="P18" s="59"/>
      <c r="Q18" s="120"/>
      <c r="R18" s="502"/>
      <c r="S18" s="502"/>
      <c r="T18" s="502"/>
      <c r="U18" s="502"/>
      <c r="V18" s="502"/>
      <c r="W18" s="502"/>
      <c r="X18" s="502"/>
      <c r="Y18" s="502"/>
      <c r="Z18" s="502"/>
      <c r="AA18" s="121"/>
      <c r="AB18" s="89"/>
      <c r="AC18" s="89"/>
      <c r="AD18" s="89"/>
      <c r="AE18" s="89"/>
      <c r="AF18" s="344" t="str">
        <f t="shared" si="1"/>
        <v/>
      </c>
      <c r="AG18" s="59"/>
      <c r="AH18" s="120"/>
      <c r="AI18" s="502"/>
      <c r="AJ18" s="502"/>
      <c r="AK18" s="502"/>
      <c r="AL18" s="502"/>
      <c r="AM18" s="502"/>
      <c r="AN18" s="502"/>
      <c r="AO18" s="502"/>
      <c r="AP18" s="502"/>
      <c r="AQ18" s="502"/>
      <c r="AR18" s="121"/>
      <c r="AS18" s="121"/>
      <c r="AT18" s="121"/>
      <c r="AU18" s="121"/>
      <c r="AV18" s="89"/>
      <c r="AW18" s="344" t="str">
        <f t="shared" si="2"/>
        <v/>
      </c>
      <c r="AX18" s="59"/>
      <c r="AY18" s="120"/>
      <c r="AZ18" s="502"/>
      <c r="BA18" s="502"/>
      <c r="BB18" s="502"/>
      <c r="BC18" s="502"/>
      <c r="BD18" s="502"/>
      <c r="BE18" s="502"/>
      <c r="BF18" s="502"/>
      <c r="BG18" s="89"/>
      <c r="BH18" s="89"/>
      <c r="BI18" s="344" t="str">
        <f t="shared" si="3"/>
        <v/>
      </c>
      <c r="BJ18" s="338"/>
      <c r="BK18" s="432"/>
      <c r="BL18" s="340"/>
      <c r="BM18" s="196" t="str">
        <f t="shared" si="4"/>
        <v/>
      </c>
      <c r="BN18" s="462" t="str">
        <f t="shared" si="5"/>
        <v/>
      </c>
      <c r="BO18" s="192" t="str">
        <f t="shared" si="6"/>
        <v xml:space="preserve"> </v>
      </c>
      <c r="BP18" s="460" t="str">
        <f>FILIACIÓN!Y16</f>
        <v/>
      </c>
      <c r="BQ18" s="460" t="str">
        <f t="shared" si="7"/>
        <v/>
      </c>
      <c r="BR18" s="460" t="str">
        <f t="shared" si="8"/>
        <v/>
      </c>
      <c r="BS18" s="460"/>
      <c r="BT18" s="425" t="str">
        <f>'1ER TRIMESTRE'!BM18</f>
        <v/>
      </c>
      <c r="BU18" s="425" t="str">
        <f>'2DO TRIMESTRE'!BM18</f>
        <v/>
      </c>
      <c r="BV18" s="425" t="str">
        <f t="shared" si="9"/>
        <v/>
      </c>
      <c r="BW18" s="82"/>
      <c r="BX18" s="82"/>
      <c r="BY18" s="82"/>
      <c r="BZ18" s="39"/>
      <c r="CA18" s="531" t="str">
        <f t="shared" si="10"/>
        <v/>
      </c>
      <c r="CB18" s="30" t="str">
        <f>IF(FILIACIÓN!Z16="MOSTRAR","1","")</f>
        <v/>
      </c>
      <c r="CC18" s="39">
        <v>6</v>
      </c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/>
      <c r="GV18" s="14"/>
      <c r="GW18" s="14"/>
      <c r="GX18" s="14"/>
      <c r="GY18" s="14"/>
      <c r="GZ18" s="14"/>
      <c r="HA18" s="14"/>
      <c r="HB18" s="14"/>
      <c r="HC18" s="14"/>
      <c r="HD18" s="14"/>
      <c r="HE18" s="14"/>
      <c r="HF18" s="14"/>
      <c r="HG18" s="14"/>
      <c r="HH18" s="14"/>
      <c r="HI18" s="14"/>
      <c r="HJ18" s="14"/>
      <c r="HK18" s="14"/>
      <c r="HL18" s="14"/>
      <c r="HM18" s="14"/>
      <c r="HN18" s="14"/>
      <c r="HO18" s="14"/>
      <c r="HP18" s="14"/>
      <c r="HQ18" s="14"/>
      <c r="HR18" s="14"/>
      <c r="HS18" s="14"/>
      <c r="HT18" s="14"/>
      <c r="HU18" s="14"/>
      <c r="HV18" s="14"/>
      <c r="HW18" s="14"/>
      <c r="HX18" s="14"/>
      <c r="HY18" s="14"/>
      <c r="HZ18" s="14"/>
      <c r="IA18" s="14"/>
      <c r="IB18" s="14"/>
      <c r="IC18" s="14"/>
      <c r="ID18" s="14"/>
      <c r="IE18" s="14"/>
      <c r="IF18" s="14"/>
      <c r="IG18" s="14"/>
      <c r="IH18" s="14"/>
      <c r="II18" s="14"/>
      <c r="IJ18" s="14"/>
      <c r="IK18" s="14"/>
      <c r="IL18" s="14"/>
      <c r="IM18" s="14"/>
      <c r="IN18" s="14"/>
      <c r="IO18" s="14"/>
      <c r="IP18" s="14"/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</row>
    <row r="19" spans="1:294" s="31" customFormat="1" ht="27" customHeight="1">
      <c r="A19" s="92">
        <f>--SUBTOTAL(2,CC$12:CC19)</f>
        <v>7</v>
      </c>
      <c r="B19" s="733" t="str">
        <f>IF(FILIACIÓN!B17="","",UPPER(FILIACIÓN!B17))</f>
        <v/>
      </c>
      <c r="C19" s="734"/>
      <c r="D19" s="735"/>
      <c r="E19" s="465" t="str">
        <f>'ASISTENCIA 3'!CD20</f>
        <v/>
      </c>
      <c r="F19" s="544"/>
      <c r="G19" s="544"/>
      <c r="H19" s="544"/>
      <c r="I19" s="544"/>
      <c r="J19" s="544"/>
      <c r="K19" s="544"/>
      <c r="L19" s="544"/>
      <c r="M19" s="89"/>
      <c r="N19" s="89"/>
      <c r="O19" s="344" t="str">
        <f t="shared" si="0"/>
        <v/>
      </c>
      <c r="P19" s="59"/>
      <c r="Q19" s="120"/>
      <c r="R19" s="502"/>
      <c r="S19" s="502"/>
      <c r="T19" s="502"/>
      <c r="U19" s="502"/>
      <c r="V19" s="502"/>
      <c r="W19" s="502"/>
      <c r="X19" s="502"/>
      <c r="Y19" s="502"/>
      <c r="Z19" s="502"/>
      <c r="AA19" s="121"/>
      <c r="AB19" s="89"/>
      <c r="AC19" s="89"/>
      <c r="AD19" s="89"/>
      <c r="AE19" s="89"/>
      <c r="AF19" s="344" t="str">
        <f t="shared" si="1"/>
        <v/>
      </c>
      <c r="AG19" s="59"/>
      <c r="AH19" s="120"/>
      <c r="AI19" s="502"/>
      <c r="AJ19" s="502"/>
      <c r="AK19" s="502"/>
      <c r="AL19" s="502"/>
      <c r="AM19" s="502"/>
      <c r="AN19" s="502"/>
      <c r="AO19" s="502"/>
      <c r="AP19" s="502"/>
      <c r="AQ19" s="502"/>
      <c r="AR19" s="121"/>
      <c r="AS19" s="121"/>
      <c r="AT19" s="121"/>
      <c r="AU19" s="121"/>
      <c r="AV19" s="89"/>
      <c r="AW19" s="344" t="str">
        <f t="shared" si="2"/>
        <v/>
      </c>
      <c r="AX19" s="59"/>
      <c r="AY19" s="120"/>
      <c r="AZ19" s="502"/>
      <c r="BA19" s="502"/>
      <c r="BB19" s="502"/>
      <c r="BC19" s="502"/>
      <c r="BD19" s="502"/>
      <c r="BE19" s="502"/>
      <c r="BF19" s="502"/>
      <c r="BG19" s="89"/>
      <c r="BH19" s="89"/>
      <c r="BI19" s="344" t="str">
        <f t="shared" si="3"/>
        <v/>
      </c>
      <c r="BJ19" s="338"/>
      <c r="BK19" s="432"/>
      <c r="BL19" s="340"/>
      <c r="BM19" s="196" t="str">
        <f t="shared" si="4"/>
        <v/>
      </c>
      <c r="BN19" s="462" t="str">
        <f t="shared" si="5"/>
        <v/>
      </c>
      <c r="BO19" s="192" t="str">
        <f t="shared" si="6"/>
        <v xml:space="preserve"> </v>
      </c>
      <c r="BP19" s="460" t="str">
        <f>FILIACIÓN!Y17</f>
        <v/>
      </c>
      <c r="BQ19" s="460" t="str">
        <f t="shared" si="7"/>
        <v/>
      </c>
      <c r="BR19" s="460" t="str">
        <f t="shared" si="8"/>
        <v/>
      </c>
      <c r="BS19" s="460"/>
      <c r="BT19" s="425" t="str">
        <f>'1ER TRIMESTRE'!BM19</f>
        <v/>
      </c>
      <c r="BU19" s="425" t="str">
        <f>'2DO TRIMESTRE'!BM19</f>
        <v/>
      </c>
      <c r="BV19" s="425" t="str">
        <f t="shared" si="9"/>
        <v/>
      </c>
      <c r="BW19" s="82"/>
      <c r="BX19" s="82"/>
      <c r="BY19" s="82"/>
      <c r="BZ19" s="39"/>
      <c r="CA19" s="531" t="str">
        <f t="shared" si="10"/>
        <v/>
      </c>
      <c r="CB19" s="30" t="str">
        <f>IF(FILIACIÓN!Z17="MOSTRAR","1","")</f>
        <v/>
      </c>
      <c r="CC19" s="39">
        <v>7</v>
      </c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/>
      <c r="GV19" s="14"/>
      <c r="GW19" s="14"/>
      <c r="GX19" s="14"/>
      <c r="GY19" s="14"/>
      <c r="GZ19" s="14"/>
      <c r="HA19" s="14"/>
      <c r="HB19" s="14"/>
      <c r="HC19" s="14"/>
      <c r="HD19" s="14"/>
      <c r="HE19" s="14"/>
      <c r="HF19" s="14"/>
      <c r="HG19" s="14"/>
      <c r="HH19" s="14"/>
      <c r="HI19" s="14"/>
      <c r="HJ19" s="14"/>
      <c r="HK19" s="14"/>
      <c r="HL19" s="14"/>
      <c r="HM19" s="14"/>
      <c r="HN19" s="14"/>
      <c r="HO19" s="14"/>
      <c r="HP19" s="14"/>
      <c r="HQ19" s="14"/>
      <c r="HR19" s="14"/>
      <c r="HS19" s="14"/>
      <c r="HT19" s="14"/>
      <c r="HU19" s="14"/>
      <c r="HV19" s="14"/>
      <c r="HW19" s="14"/>
      <c r="HX19" s="14"/>
      <c r="HY19" s="14"/>
      <c r="HZ19" s="14"/>
      <c r="IA19" s="14"/>
      <c r="IB19" s="14"/>
      <c r="IC19" s="14"/>
      <c r="ID19" s="14"/>
      <c r="IE19" s="14"/>
      <c r="IF19" s="14"/>
      <c r="IG19" s="14"/>
      <c r="IH19" s="14"/>
      <c r="II19" s="14"/>
      <c r="IJ19" s="14"/>
      <c r="IK19" s="14"/>
      <c r="IL19" s="14"/>
      <c r="IM19" s="14"/>
      <c r="IN19" s="14"/>
      <c r="IO19" s="14"/>
      <c r="IP19" s="14"/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</row>
    <row r="20" spans="1:294" s="31" customFormat="1" ht="27" customHeight="1">
      <c r="A20" s="92">
        <f>--SUBTOTAL(2,CC$12:CC20)</f>
        <v>8</v>
      </c>
      <c r="B20" s="733" t="str">
        <f>IF(FILIACIÓN!B18="","",UPPER(FILIACIÓN!B18))</f>
        <v/>
      </c>
      <c r="C20" s="734"/>
      <c r="D20" s="735"/>
      <c r="E20" s="465" t="str">
        <f>'ASISTENCIA 3'!CD21</f>
        <v/>
      </c>
      <c r="F20" s="544"/>
      <c r="G20" s="544"/>
      <c r="H20" s="544"/>
      <c r="I20" s="544"/>
      <c r="J20" s="544"/>
      <c r="K20" s="544"/>
      <c r="L20" s="544"/>
      <c r="M20" s="89"/>
      <c r="N20" s="89"/>
      <c r="O20" s="344" t="str">
        <f t="shared" si="0"/>
        <v/>
      </c>
      <c r="P20" s="59"/>
      <c r="Q20" s="120"/>
      <c r="R20" s="502"/>
      <c r="S20" s="502"/>
      <c r="T20" s="502"/>
      <c r="U20" s="502"/>
      <c r="V20" s="502"/>
      <c r="W20" s="502"/>
      <c r="X20" s="502"/>
      <c r="Y20" s="502"/>
      <c r="Z20" s="502"/>
      <c r="AA20" s="121"/>
      <c r="AB20" s="89"/>
      <c r="AC20" s="89"/>
      <c r="AD20" s="89"/>
      <c r="AE20" s="89"/>
      <c r="AF20" s="344" t="str">
        <f t="shared" si="1"/>
        <v/>
      </c>
      <c r="AG20" s="59"/>
      <c r="AH20" s="120"/>
      <c r="AI20" s="502"/>
      <c r="AJ20" s="502"/>
      <c r="AK20" s="502"/>
      <c r="AL20" s="502"/>
      <c r="AM20" s="502"/>
      <c r="AN20" s="502"/>
      <c r="AO20" s="502"/>
      <c r="AP20" s="502"/>
      <c r="AQ20" s="502"/>
      <c r="AR20" s="121"/>
      <c r="AS20" s="121"/>
      <c r="AT20" s="121"/>
      <c r="AU20" s="121"/>
      <c r="AV20" s="89"/>
      <c r="AW20" s="344" t="str">
        <f t="shared" si="2"/>
        <v/>
      </c>
      <c r="AX20" s="59"/>
      <c r="AY20" s="120"/>
      <c r="AZ20" s="502"/>
      <c r="BA20" s="502"/>
      <c r="BB20" s="502"/>
      <c r="BC20" s="502"/>
      <c r="BD20" s="502"/>
      <c r="BE20" s="502"/>
      <c r="BF20" s="502"/>
      <c r="BG20" s="89"/>
      <c r="BH20" s="89"/>
      <c r="BI20" s="344" t="str">
        <f t="shared" si="3"/>
        <v/>
      </c>
      <c r="BJ20" s="338"/>
      <c r="BK20" s="432"/>
      <c r="BL20" s="340"/>
      <c r="BM20" s="196" t="str">
        <f t="shared" si="4"/>
        <v/>
      </c>
      <c r="BN20" s="462" t="str">
        <f t="shared" si="5"/>
        <v/>
      </c>
      <c r="BO20" s="192" t="str">
        <f t="shared" si="6"/>
        <v xml:space="preserve"> </v>
      </c>
      <c r="BP20" s="460" t="str">
        <f>FILIACIÓN!Y18</f>
        <v/>
      </c>
      <c r="BQ20" s="460" t="str">
        <f t="shared" si="7"/>
        <v/>
      </c>
      <c r="BR20" s="460" t="str">
        <f t="shared" si="8"/>
        <v/>
      </c>
      <c r="BS20" s="460"/>
      <c r="BT20" s="425" t="str">
        <f>'1ER TRIMESTRE'!BM20</f>
        <v/>
      </c>
      <c r="BU20" s="425" t="str">
        <f>'2DO TRIMESTRE'!BM20</f>
        <v/>
      </c>
      <c r="BV20" s="425" t="str">
        <f t="shared" si="9"/>
        <v/>
      </c>
      <c r="BW20" s="82"/>
      <c r="BX20" s="82"/>
      <c r="BY20" s="82"/>
      <c r="BZ20" s="39"/>
      <c r="CA20" s="531" t="str">
        <f t="shared" si="10"/>
        <v/>
      </c>
      <c r="CB20" s="30" t="str">
        <f>IF(FILIACIÓN!Z18="MOSTRAR","1","")</f>
        <v/>
      </c>
      <c r="CC20" s="39">
        <v>8</v>
      </c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</row>
    <row r="21" spans="1:294" s="31" customFormat="1" ht="27" customHeight="1">
      <c r="A21" s="92">
        <f>--SUBTOTAL(2,CC$12:CC21)</f>
        <v>9</v>
      </c>
      <c r="B21" s="733" t="str">
        <f>IF(FILIACIÓN!B19="","",UPPER(FILIACIÓN!B19))</f>
        <v/>
      </c>
      <c r="C21" s="734"/>
      <c r="D21" s="735"/>
      <c r="E21" s="465" t="str">
        <f>'ASISTENCIA 3'!CD22</f>
        <v/>
      </c>
      <c r="F21" s="544"/>
      <c r="G21" s="544"/>
      <c r="H21" s="544"/>
      <c r="I21" s="544"/>
      <c r="J21" s="544"/>
      <c r="K21" s="544"/>
      <c r="L21" s="544"/>
      <c r="M21" s="89"/>
      <c r="N21" s="89"/>
      <c r="O21" s="344" t="str">
        <f t="shared" si="0"/>
        <v/>
      </c>
      <c r="P21" s="59"/>
      <c r="Q21" s="120"/>
      <c r="R21" s="502"/>
      <c r="S21" s="502"/>
      <c r="T21" s="502"/>
      <c r="U21" s="502"/>
      <c r="V21" s="502"/>
      <c r="W21" s="502"/>
      <c r="X21" s="502"/>
      <c r="Y21" s="502"/>
      <c r="Z21" s="502"/>
      <c r="AA21" s="121"/>
      <c r="AB21" s="89"/>
      <c r="AC21" s="89"/>
      <c r="AD21" s="89"/>
      <c r="AE21" s="89"/>
      <c r="AF21" s="344" t="str">
        <f t="shared" si="1"/>
        <v/>
      </c>
      <c r="AG21" s="59"/>
      <c r="AH21" s="120"/>
      <c r="AI21" s="502"/>
      <c r="AJ21" s="502"/>
      <c r="AK21" s="502"/>
      <c r="AL21" s="502"/>
      <c r="AM21" s="502"/>
      <c r="AN21" s="502"/>
      <c r="AO21" s="502"/>
      <c r="AP21" s="502"/>
      <c r="AQ21" s="502"/>
      <c r="AR21" s="121"/>
      <c r="AS21" s="121"/>
      <c r="AT21" s="121"/>
      <c r="AU21" s="121"/>
      <c r="AV21" s="89"/>
      <c r="AW21" s="344" t="str">
        <f t="shared" si="2"/>
        <v/>
      </c>
      <c r="AX21" s="59"/>
      <c r="AY21" s="120"/>
      <c r="AZ21" s="502"/>
      <c r="BA21" s="502"/>
      <c r="BB21" s="502"/>
      <c r="BC21" s="502"/>
      <c r="BD21" s="502"/>
      <c r="BE21" s="502"/>
      <c r="BF21" s="502"/>
      <c r="BG21" s="89"/>
      <c r="BH21" s="89"/>
      <c r="BI21" s="344" t="str">
        <f t="shared" si="3"/>
        <v/>
      </c>
      <c r="BJ21" s="338"/>
      <c r="BK21" s="432"/>
      <c r="BL21" s="340"/>
      <c r="BM21" s="196" t="str">
        <f t="shared" si="4"/>
        <v/>
      </c>
      <c r="BN21" s="462" t="str">
        <f t="shared" si="5"/>
        <v/>
      </c>
      <c r="BO21" s="192" t="str">
        <f t="shared" si="6"/>
        <v xml:space="preserve"> </v>
      </c>
      <c r="BP21" s="460" t="str">
        <f>FILIACIÓN!Y19</f>
        <v/>
      </c>
      <c r="BQ21" s="460" t="str">
        <f t="shared" si="7"/>
        <v/>
      </c>
      <c r="BR21" s="460" t="str">
        <f t="shared" si="8"/>
        <v/>
      </c>
      <c r="BS21" s="460"/>
      <c r="BT21" s="425" t="str">
        <f>'1ER TRIMESTRE'!BM21</f>
        <v/>
      </c>
      <c r="BU21" s="425" t="str">
        <f>'2DO TRIMESTRE'!BM21</f>
        <v/>
      </c>
      <c r="BV21" s="425" t="str">
        <f t="shared" si="9"/>
        <v/>
      </c>
      <c r="BW21" s="82"/>
      <c r="BX21" s="82"/>
      <c r="BY21" s="82"/>
      <c r="BZ21" s="39"/>
      <c r="CA21" s="531" t="str">
        <f t="shared" si="10"/>
        <v/>
      </c>
      <c r="CB21" s="30" t="str">
        <f>IF(FILIACIÓN!Z19="MOSTRAR","1","")</f>
        <v/>
      </c>
      <c r="CC21" s="39">
        <v>9</v>
      </c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</row>
    <row r="22" spans="1:294" s="31" customFormat="1" ht="27" customHeight="1">
      <c r="A22" s="92">
        <f>--SUBTOTAL(2,CC$12:CC22)</f>
        <v>10</v>
      </c>
      <c r="B22" s="733" t="str">
        <f>IF(FILIACIÓN!B20="","",UPPER(FILIACIÓN!B20))</f>
        <v/>
      </c>
      <c r="C22" s="734"/>
      <c r="D22" s="735"/>
      <c r="E22" s="465" t="str">
        <f>'ASISTENCIA 3'!CD23</f>
        <v/>
      </c>
      <c r="F22" s="544"/>
      <c r="G22" s="544"/>
      <c r="H22" s="544"/>
      <c r="I22" s="544"/>
      <c r="J22" s="544"/>
      <c r="K22" s="544"/>
      <c r="L22" s="544"/>
      <c r="M22" s="89"/>
      <c r="N22" s="89"/>
      <c r="O22" s="344" t="str">
        <f t="shared" si="0"/>
        <v/>
      </c>
      <c r="P22" s="59"/>
      <c r="Q22" s="120"/>
      <c r="R22" s="502"/>
      <c r="S22" s="502"/>
      <c r="T22" s="502"/>
      <c r="U22" s="502"/>
      <c r="V22" s="502"/>
      <c r="W22" s="502"/>
      <c r="X22" s="502"/>
      <c r="Y22" s="502"/>
      <c r="Z22" s="502"/>
      <c r="AA22" s="121"/>
      <c r="AB22" s="89"/>
      <c r="AC22" s="89"/>
      <c r="AD22" s="89"/>
      <c r="AE22" s="89"/>
      <c r="AF22" s="344" t="str">
        <f t="shared" si="1"/>
        <v/>
      </c>
      <c r="AG22" s="59"/>
      <c r="AH22" s="120"/>
      <c r="AI22" s="502"/>
      <c r="AJ22" s="502"/>
      <c r="AK22" s="502"/>
      <c r="AL22" s="502"/>
      <c r="AM22" s="502"/>
      <c r="AN22" s="502"/>
      <c r="AO22" s="502"/>
      <c r="AP22" s="502"/>
      <c r="AQ22" s="502"/>
      <c r="AR22" s="121"/>
      <c r="AS22" s="121"/>
      <c r="AT22" s="121"/>
      <c r="AU22" s="121"/>
      <c r="AV22" s="89"/>
      <c r="AW22" s="344" t="str">
        <f t="shared" si="2"/>
        <v/>
      </c>
      <c r="AX22" s="59"/>
      <c r="AY22" s="120"/>
      <c r="AZ22" s="502"/>
      <c r="BA22" s="502"/>
      <c r="BB22" s="502"/>
      <c r="BC22" s="502"/>
      <c r="BD22" s="502"/>
      <c r="BE22" s="502"/>
      <c r="BF22" s="502"/>
      <c r="BG22" s="89"/>
      <c r="BH22" s="89"/>
      <c r="BI22" s="344" t="str">
        <f t="shared" si="3"/>
        <v/>
      </c>
      <c r="BJ22" s="338"/>
      <c r="BK22" s="432"/>
      <c r="BL22" s="340"/>
      <c r="BM22" s="196" t="str">
        <f t="shared" si="4"/>
        <v/>
      </c>
      <c r="BN22" s="462" t="str">
        <f t="shared" si="5"/>
        <v/>
      </c>
      <c r="BO22" s="192" t="str">
        <f t="shared" si="6"/>
        <v xml:space="preserve"> </v>
      </c>
      <c r="BP22" s="460" t="str">
        <f>FILIACIÓN!Y20</f>
        <v/>
      </c>
      <c r="BQ22" s="460" t="str">
        <f t="shared" si="7"/>
        <v/>
      </c>
      <c r="BR22" s="460" t="str">
        <f t="shared" si="8"/>
        <v/>
      </c>
      <c r="BS22" s="460"/>
      <c r="BT22" s="425" t="str">
        <f>'1ER TRIMESTRE'!BM22</f>
        <v/>
      </c>
      <c r="BU22" s="425" t="str">
        <f>'2DO TRIMESTRE'!BM22</f>
        <v/>
      </c>
      <c r="BV22" s="425" t="str">
        <f t="shared" si="9"/>
        <v/>
      </c>
      <c r="BW22" s="82"/>
      <c r="BX22" s="82"/>
      <c r="BY22" s="82"/>
      <c r="BZ22" s="39"/>
      <c r="CA22" s="531" t="str">
        <f t="shared" si="10"/>
        <v/>
      </c>
      <c r="CB22" s="30" t="str">
        <f>IF(FILIACIÓN!Z20="MOSTRAR","1","")</f>
        <v/>
      </c>
      <c r="CC22" s="39">
        <v>10</v>
      </c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</row>
    <row r="23" spans="1:294" s="31" customFormat="1" ht="27" customHeight="1">
      <c r="A23" s="92">
        <f>--SUBTOTAL(2,CC$12:CC23)</f>
        <v>11</v>
      </c>
      <c r="B23" s="733" t="str">
        <f>IF(FILIACIÓN!B21="","",UPPER(FILIACIÓN!B21))</f>
        <v/>
      </c>
      <c r="C23" s="734"/>
      <c r="D23" s="735"/>
      <c r="E23" s="465" t="str">
        <f>'ASISTENCIA 3'!CD24</f>
        <v/>
      </c>
      <c r="F23" s="544"/>
      <c r="G23" s="544"/>
      <c r="H23" s="544"/>
      <c r="I23" s="544"/>
      <c r="J23" s="544"/>
      <c r="K23" s="544"/>
      <c r="L23" s="544"/>
      <c r="M23" s="89"/>
      <c r="N23" s="89"/>
      <c r="O23" s="344" t="str">
        <f t="shared" si="0"/>
        <v/>
      </c>
      <c r="P23" s="59"/>
      <c r="Q23" s="120"/>
      <c r="R23" s="502"/>
      <c r="S23" s="502"/>
      <c r="T23" s="502"/>
      <c r="U23" s="502"/>
      <c r="V23" s="502"/>
      <c r="W23" s="502"/>
      <c r="X23" s="502"/>
      <c r="Y23" s="502"/>
      <c r="Z23" s="502"/>
      <c r="AA23" s="121"/>
      <c r="AB23" s="89"/>
      <c r="AC23" s="89"/>
      <c r="AD23" s="89"/>
      <c r="AE23" s="89"/>
      <c r="AF23" s="344" t="str">
        <f t="shared" si="1"/>
        <v/>
      </c>
      <c r="AG23" s="59"/>
      <c r="AH23" s="120"/>
      <c r="AI23" s="502"/>
      <c r="AJ23" s="502"/>
      <c r="AK23" s="502"/>
      <c r="AL23" s="502"/>
      <c r="AM23" s="502"/>
      <c r="AN23" s="502"/>
      <c r="AO23" s="502"/>
      <c r="AP23" s="502"/>
      <c r="AQ23" s="502"/>
      <c r="AR23" s="121"/>
      <c r="AS23" s="121"/>
      <c r="AT23" s="121"/>
      <c r="AU23" s="121"/>
      <c r="AV23" s="89"/>
      <c r="AW23" s="344" t="str">
        <f t="shared" si="2"/>
        <v/>
      </c>
      <c r="AX23" s="59"/>
      <c r="AY23" s="120"/>
      <c r="AZ23" s="502"/>
      <c r="BA23" s="502"/>
      <c r="BB23" s="502"/>
      <c r="BC23" s="502"/>
      <c r="BD23" s="502"/>
      <c r="BE23" s="502"/>
      <c r="BF23" s="502"/>
      <c r="BG23" s="89"/>
      <c r="BH23" s="89"/>
      <c r="BI23" s="344" t="str">
        <f t="shared" si="3"/>
        <v/>
      </c>
      <c r="BJ23" s="338"/>
      <c r="BK23" s="432"/>
      <c r="BL23" s="340"/>
      <c r="BM23" s="196" t="str">
        <f t="shared" si="4"/>
        <v/>
      </c>
      <c r="BN23" s="462" t="str">
        <f t="shared" si="5"/>
        <v/>
      </c>
      <c r="BO23" s="192" t="str">
        <f t="shared" si="6"/>
        <v xml:space="preserve"> </v>
      </c>
      <c r="BP23" s="460" t="str">
        <f>FILIACIÓN!Y21</f>
        <v/>
      </c>
      <c r="BQ23" s="460" t="str">
        <f t="shared" si="7"/>
        <v/>
      </c>
      <c r="BR23" s="460" t="str">
        <f t="shared" si="8"/>
        <v/>
      </c>
      <c r="BS23" s="460"/>
      <c r="BT23" s="425" t="str">
        <f>'1ER TRIMESTRE'!BM23</f>
        <v/>
      </c>
      <c r="BU23" s="425" t="str">
        <f>'2DO TRIMESTRE'!BM23</f>
        <v/>
      </c>
      <c r="BV23" s="425" t="str">
        <f t="shared" si="9"/>
        <v/>
      </c>
      <c r="BW23" s="82"/>
      <c r="BX23" s="82"/>
      <c r="BY23" s="82"/>
      <c r="BZ23" s="39"/>
      <c r="CA23" s="531" t="str">
        <f t="shared" si="10"/>
        <v/>
      </c>
      <c r="CB23" s="30" t="str">
        <f>IF(FILIACIÓN!Z21="MOSTRAR","1","")</f>
        <v/>
      </c>
      <c r="CC23" s="39">
        <v>11</v>
      </c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</row>
    <row r="24" spans="1:294" s="31" customFormat="1" ht="27" customHeight="1">
      <c r="A24" s="92">
        <f>--SUBTOTAL(2,CC$12:CC24)</f>
        <v>12</v>
      </c>
      <c r="B24" s="733" t="str">
        <f>IF(FILIACIÓN!B22="","",UPPER(FILIACIÓN!B22))</f>
        <v/>
      </c>
      <c r="C24" s="734"/>
      <c r="D24" s="735"/>
      <c r="E24" s="465" t="str">
        <f>'ASISTENCIA 3'!CD25</f>
        <v/>
      </c>
      <c r="F24" s="544"/>
      <c r="G24" s="544"/>
      <c r="H24" s="544"/>
      <c r="I24" s="544"/>
      <c r="J24" s="544"/>
      <c r="K24" s="544"/>
      <c r="L24" s="544"/>
      <c r="M24" s="89"/>
      <c r="N24" s="89"/>
      <c r="O24" s="344" t="str">
        <f t="shared" si="0"/>
        <v/>
      </c>
      <c r="P24" s="59"/>
      <c r="Q24" s="120"/>
      <c r="R24" s="502"/>
      <c r="S24" s="502"/>
      <c r="T24" s="502"/>
      <c r="U24" s="502"/>
      <c r="V24" s="502"/>
      <c r="W24" s="502"/>
      <c r="X24" s="502"/>
      <c r="Y24" s="502"/>
      <c r="Z24" s="502"/>
      <c r="AA24" s="121"/>
      <c r="AB24" s="89"/>
      <c r="AC24" s="89"/>
      <c r="AD24" s="89"/>
      <c r="AE24" s="89"/>
      <c r="AF24" s="344" t="str">
        <f t="shared" si="1"/>
        <v/>
      </c>
      <c r="AG24" s="59"/>
      <c r="AH24" s="120"/>
      <c r="AI24" s="502"/>
      <c r="AJ24" s="502"/>
      <c r="AK24" s="502"/>
      <c r="AL24" s="502"/>
      <c r="AM24" s="502"/>
      <c r="AN24" s="502"/>
      <c r="AO24" s="502"/>
      <c r="AP24" s="502"/>
      <c r="AQ24" s="502"/>
      <c r="AR24" s="121"/>
      <c r="AS24" s="121"/>
      <c r="AT24" s="121"/>
      <c r="AU24" s="121"/>
      <c r="AV24" s="89"/>
      <c r="AW24" s="344" t="str">
        <f t="shared" si="2"/>
        <v/>
      </c>
      <c r="AX24" s="59"/>
      <c r="AY24" s="120"/>
      <c r="AZ24" s="502"/>
      <c r="BA24" s="502"/>
      <c r="BB24" s="502"/>
      <c r="BC24" s="502"/>
      <c r="BD24" s="502"/>
      <c r="BE24" s="502"/>
      <c r="BF24" s="502"/>
      <c r="BG24" s="89"/>
      <c r="BH24" s="89"/>
      <c r="BI24" s="344" t="str">
        <f t="shared" si="3"/>
        <v/>
      </c>
      <c r="BJ24" s="338"/>
      <c r="BK24" s="432"/>
      <c r="BL24" s="340"/>
      <c r="BM24" s="196" t="str">
        <f t="shared" si="4"/>
        <v/>
      </c>
      <c r="BN24" s="462" t="str">
        <f t="shared" si="5"/>
        <v/>
      </c>
      <c r="BO24" s="192" t="str">
        <f t="shared" si="6"/>
        <v xml:space="preserve"> </v>
      </c>
      <c r="BP24" s="460" t="str">
        <f>FILIACIÓN!Y22</f>
        <v/>
      </c>
      <c r="BQ24" s="460" t="str">
        <f t="shared" si="7"/>
        <v/>
      </c>
      <c r="BR24" s="460" t="str">
        <f t="shared" si="8"/>
        <v/>
      </c>
      <c r="BS24" s="460"/>
      <c r="BT24" s="425" t="str">
        <f>'1ER TRIMESTRE'!BM24</f>
        <v/>
      </c>
      <c r="BU24" s="425" t="str">
        <f>'2DO TRIMESTRE'!BM24</f>
        <v/>
      </c>
      <c r="BV24" s="425" t="str">
        <f t="shared" si="9"/>
        <v/>
      </c>
      <c r="BW24" s="82"/>
      <c r="BX24" s="82"/>
      <c r="BY24" s="82"/>
      <c r="BZ24" s="39"/>
      <c r="CA24" s="531" t="str">
        <f t="shared" si="10"/>
        <v/>
      </c>
      <c r="CB24" s="30" t="str">
        <f>IF(FILIACIÓN!Z22="MOSTRAR","1","")</f>
        <v/>
      </c>
      <c r="CC24" s="39">
        <v>12</v>
      </c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</row>
    <row r="25" spans="1:294" s="31" customFormat="1" ht="27" customHeight="1">
      <c r="A25" s="92">
        <f>--SUBTOTAL(2,CC$12:CC25)</f>
        <v>13</v>
      </c>
      <c r="B25" s="733" t="str">
        <f>IF(FILIACIÓN!B23="","",UPPER(FILIACIÓN!B23))</f>
        <v/>
      </c>
      <c r="C25" s="734"/>
      <c r="D25" s="735"/>
      <c r="E25" s="465" t="str">
        <f>'ASISTENCIA 3'!CD26</f>
        <v/>
      </c>
      <c r="F25" s="544"/>
      <c r="G25" s="544"/>
      <c r="H25" s="544"/>
      <c r="I25" s="544"/>
      <c r="J25" s="544"/>
      <c r="K25" s="544"/>
      <c r="L25" s="544"/>
      <c r="M25" s="89"/>
      <c r="N25" s="89"/>
      <c r="O25" s="344" t="str">
        <f t="shared" si="0"/>
        <v/>
      </c>
      <c r="P25" s="59"/>
      <c r="Q25" s="120"/>
      <c r="R25" s="502"/>
      <c r="S25" s="502"/>
      <c r="T25" s="502"/>
      <c r="U25" s="502"/>
      <c r="V25" s="502"/>
      <c r="W25" s="502"/>
      <c r="X25" s="502"/>
      <c r="Y25" s="502"/>
      <c r="Z25" s="502"/>
      <c r="AA25" s="121"/>
      <c r="AB25" s="89"/>
      <c r="AC25" s="89"/>
      <c r="AD25" s="89"/>
      <c r="AE25" s="89"/>
      <c r="AF25" s="344" t="str">
        <f t="shared" si="1"/>
        <v/>
      </c>
      <c r="AG25" s="59"/>
      <c r="AH25" s="120"/>
      <c r="AI25" s="502"/>
      <c r="AJ25" s="502"/>
      <c r="AK25" s="502"/>
      <c r="AL25" s="502"/>
      <c r="AM25" s="502"/>
      <c r="AN25" s="502"/>
      <c r="AO25" s="502"/>
      <c r="AP25" s="502"/>
      <c r="AQ25" s="502"/>
      <c r="AR25" s="121"/>
      <c r="AS25" s="121"/>
      <c r="AT25" s="121"/>
      <c r="AU25" s="121"/>
      <c r="AV25" s="89"/>
      <c r="AW25" s="344" t="str">
        <f t="shared" si="2"/>
        <v/>
      </c>
      <c r="AX25" s="59"/>
      <c r="AY25" s="120"/>
      <c r="AZ25" s="502"/>
      <c r="BA25" s="502"/>
      <c r="BB25" s="502"/>
      <c r="BC25" s="502"/>
      <c r="BD25" s="502"/>
      <c r="BE25" s="502"/>
      <c r="BF25" s="502"/>
      <c r="BG25" s="89"/>
      <c r="BH25" s="89"/>
      <c r="BI25" s="344" t="str">
        <f t="shared" si="3"/>
        <v/>
      </c>
      <c r="BJ25" s="338"/>
      <c r="BK25" s="432"/>
      <c r="BL25" s="340"/>
      <c r="BM25" s="196" t="str">
        <f t="shared" si="4"/>
        <v/>
      </c>
      <c r="BN25" s="462" t="str">
        <f t="shared" si="5"/>
        <v/>
      </c>
      <c r="BO25" s="192" t="str">
        <f t="shared" si="6"/>
        <v xml:space="preserve"> </v>
      </c>
      <c r="BP25" s="460" t="str">
        <f>FILIACIÓN!Y23</f>
        <v/>
      </c>
      <c r="BQ25" s="460" t="str">
        <f t="shared" si="7"/>
        <v/>
      </c>
      <c r="BR25" s="460" t="str">
        <f t="shared" si="8"/>
        <v/>
      </c>
      <c r="BS25" s="460"/>
      <c r="BT25" s="425" t="str">
        <f>'1ER TRIMESTRE'!BM25</f>
        <v/>
      </c>
      <c r="BU25" s="425" t="str">
        <f>'2DO TRIMESTRE'!BM25</f>
        <v/>
      </c>
      <c r="BV25" s="425" t="str">
        <f t="shared" si="9"/>
        <v/>
      </c>
      <c r="BW25" s="82"/>
      <c r="BX25" s="82"/>
      <c r="BY25" s="82"/>
      <c r="BZ25" s="39"/>
      <c r="CA25" s="531" t="str">
        <f t="shared" si="10"/>
        <v/>
      </c>
      <c r="CB25" s="30" t="str">
        <f>IF(FILIACIÓN!Z23="MOSTRAR","1","")</f>
        <v/>
      </c>
      <c r="CC25" s="39">
        <v>13</v>
      </c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</row>
    <row r="26" spans="1:294" s="31" customFormat="1" ht="27" customHeight="1">
      <c r="A26" s="92">
        <f>--SUBTOTAL(2,CC$12:CC26)</f>
        <v>14</v>
      </c>
      <c r="B26" s="733" t="str">
        <f>IF(FILIACIÓN!B24="","",UPPER(FILIACIÓN!B24))</f>
        <v/>
      </c>
      <c r="C26" s="734"/>
      <c r="D26" s="735"/>
      <c r="E26" s="465" t="str">
        <f>'ASISTENCIA 3'!CD27</f>
        <v/>
      </c>
      <c r="F26" s="544"/>
      <c r="G26" s="544"/>
      <c r="H26" s="544"/>
      <c r="I26" s="544"/>
      <c r="J26" s="544"/>
      <c r="K26" s="544"/>
      <c r="L26" s="544"/>
      <c r="M26" s="89"/>
      <c r="N26" s="89"/>
      <c r="O26" s="344" t="str">
        <f t="shared" si="0"/>
        <v/>
      </c>
      <c r="P26" s="59"/>
      <c r="Q26" s="120"/>
      <c r="R26" s="502"/>
      <c r="S26" s="502"/>
      <c r="T26" s="502"/>
      <c r="U26" s="502"/>
      <c r="V26" s="502"/>
      <c r="W26" s="502"/>
      <c r="X26" s="502"/>
      <c r="Y26" s="502"/>
      <c r="Z26" s="502"/>
      <c r="AA26" s="121"/>
      <c r="AB26" s="89"/>
      <c r="AC26" s="89"/>
      <c r="AD26" s="89"/>
      <c r="AE26" s="89"/>
      <c r="AF26" s="344" t="str">
        <f t="shared" si="1"/>
        <v/>
      </c>
      <c r="AG26" s="59"/>
      <c r="AH26" s="120"/>
      <c r="AI26" s="502"/>
      <c r="AJ26" s="502"/>
      <c r="AK26" s="502"/>
      <c r="AL26" s="502"/>
      <c r="AM26" s="502"/>
      <c r="AN26" s="502"/>
      <c r="AO26" s="502"/>
      <c r="AP26" s="502"/>
      <c r="AQ26" s="502"/>
      <c r="AR26" s="121"/>
      <c r="AS26" s="121"/>
      <c r="AT26" s="121"/>
      <c r="AU26" s="121"/>
      <c r="AV26" s="89"/>
      <c r="AW26" s="344" t="str">
        <f t="shared" si="2"/>
        <v/>
      </c>
      <c r="AX26" s="59"/>
      <c r="AY26" s="120"/>
      <c r="AZ26" s="502"/>
      <c r="BA26" s="502"/>
      <c r="BB26" s="502"/>
      <c r="BC26" s="502"/>
      <c r="BD26" s="502"/>
      <c r="BE26" s="502"/>
      <c r="BF26" s="502"/>
      <c r="BG26" s="89"/>
      <c r="BH26" s="89"/>
      <c r="BI26" s="344" t="str">
        <f t="shared" si="3"/>
        <v/>
      </c>
      <c r="BJ26" s="338"/>
      <c r="BK26" s="432"/>
      <c r="BL26" s="340"/>
      <c r="BM26" s="196" t="str">
        <f t="shared" si="4"/>
        <v/>
      </c>
      <c r="BN26" s="462" t="str">
        <f t="shared" si="5"/>
        <v/>
      </c>
      <c r="BO26" s="192" t="str">
        <f t="shared" si="6"/>
        <v xml:space="preserve"> </v>
      </c>
      <c r="BP26" s="460" t="str">
        <f>FILIACIÓN!Y24</f>
        <v/>
      </c>
      <c r="BQ26" s="460" t="str">
        <f t="shared" si="7"/>
        <v/>
      </c>
      <c r="BR26" s="460" t="str">
        <f t="shared" si="8"/>
        <v/>
      </c>
      <c r="BS26" s="460"/>
      <c r="BT26" s="425" t="str">
        <f>'1ER TRIMESTRE'!BM26</f>
        <v/>
      </c>
      <c r="BU26" s="425" t="str">
        <f>'2DO TRIMESTRE'!BM26</f>
        <v/>
      </c>
      <c r="BV26" s="425" t="str">
        <f t="shared" si="9"/>
        <v/>
      </c>
      <c r="BW26" s="82"/>
      <c r="BX26" s="82"/>
      <c r="BY26" s="82"/>
      <c r="BZ26" s="39"/>
      <c r="CA26" s="531" t="str">
        <f t="shared" si="10"/>
        <v/>
      </c>
      <c r="CB26" s="30" t="str">
        <f>IF(FILIACIÓN!Z24="MOSTRAR","1","")</f>
        <v/>
      </c>
      <c r="CC26" s="39">
        <v>14</v>
      </c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</row>
    <row r="27" spans="1:294" s="31" customFormat="1" ht="27" customHeight="1">
      <c r="A27" s="92">
        <f>--SUBTOTAL(2,CC$12:CC27)</f>
        <v>15</v>
      </c>
      <c r="B27" s="733" t="str">
        <f>IF(FILIACIÓN!B25="","",UPPER(FILIACIÓN!B25))</f>
        <v/>
      </c>
      <c r="C27" s="734"/>
      <c r="D27" s="735"/>
      <c r="E27" s="465" t="str">
        <f>'ASISTENCIA 3'!CD28</f>
        <v/>
      </c>
      <c r="F27" s="544"/>
      <c r="G27" s="544"/>
      <c r="H27" s="544"/>
      <c r="I27" s="544"/>
      <c r="J27" s="544"/>
      <c r="K27" s="544"/>
      <c r="L27" s="544"/>
      <c r="M27" s="89"/>
      <c r="N27" s="89"/>
      <c r="O27" s="344" t="str">
        <f t="shared" si="0"/>
        <v/>
      </c>
      <c r="P27" s="59"/>
      <c r="Q27" s="120"/>
      <c r="R27" s="502"/>
      <c r="S27" s="502"/>
      <c r="T27" s="502"/>
      <c r="U27" s="502"/>
      <c r="V27" s="502"/>
      <c r="W27" s="502"/>
      <c r="X27" s="502"/>
      <c r="Y27" s="502"/>
      <c r="Z27" s="502"/>
      <c r="AA27" s="121"/>
      <c r="AB27" s="89"/>
      <c r="AC27" s="89"/>
      <c r="AD27" s="89"/>
      <c r="AE27" s="89"/>
      <c r="AF27" s="344" t="str">
        <f t="shared" si="1"/>
        <v/>
      </c>
      <c r="AG27" s="59"/>
      <c r="AH27" s="120"/>
      <c r="AI27" s="502"/>
      <c r="AJ27" s="502"/>
      <c r="AK27" s="502"/>
      <c r="AL27" s="502"/>
      <c r="AM27" s="502"/>
      <c r="AN27" s="502"/>
      <c r="AO27" s="502"/>
      <c r="AP27" s="502"/>
      <c r="AQ27" s="502"/>
      <c r="AR27" s="121"/>
      <c r="AS27" s="121"/>
      <c r="AT27" s="121"/>
      <c r="AU27" s="121"/>
      <c r="AV27" s="89"/>
      <c r="AW27" s="344" t="str">
        <f t="shared" si="2"/>
        <v/>
      </c>
      <c r="AX27" s="59"/>
      <c r="AY27" s="120"/>
      <c r="AZ27" s="502"/>
      <c r="BA27" s="502"/>
      <c r="BB27" s="502"/>
      <c r="BC27" s="502"/>
      <c r="BD27" s="502"/>
      <c r="BE27" s="502"/>
      <c r="BF27" s="502"/>
      <c r="BG27" s="89"/>
      <c r="BH27" s="89"/>
      <c r="BI27" s="344" t="str">
        <f t="shared" si="3"/>
        <v/>
      </c>
      <c r="BJ27" s="338"/>
      <c r="BK27" s="432"/>
      <c r="BL27" s="340"/>
      <c r="BM27" s="196" t="str">
        <f t="shared" si="4"/>
        <v/>
      </c>
      <c r="BN27" s="462" t="str">
        <f t="shared" si="5"/>
        <v/>
      </c>
      <c r="BO27" s="192" t="str">
        <f t="shared" si="6"/>
        <v xml:space="preserve"> </v>
      </c>
      <c r="BP27" s="460" t="str">
        <f>FILIACIÓN!Y25</f>
        <v/>
      </c>
      <c r="BQ27" s="460" t="str">
        <f t="shared" si="7"/>
        <v/>
      </c>
      <c r="BR27" s="460" t="str">
        <f t="shared" si="8"/>
        <v/>
      </c>
      <c r="BS27" s="460"/>
      <c r="BT27" s="425" t="str">
        <f>'1ER TRIMESTRE'!BM27</f>
        <v/>
      </c>
      <c r="BU27" s="425" t="str">
        <f>'2DO TRIMESTRE'!BM27</f>
        <v/>
      </c>
      <c r="BV27" s="425" t="str">
        <f t="shared" si="9"/>
        <v/>
      </c>
      <c r="BW27" s="82"/>
      <c r="BX27" s="82"/>
      <c r="BY27" s="82"/>
      <c r="BZ27" s="39"/>
      <c r="CA27" s="531" t="str">
        <f t="shared" si="10"/>
        <v/>
      </c>
      <c r="CB27" s="30" t="str">
        <f>IF(FILIACIÓN!Z25="MOSTRAR","1","")</f>
        <v/>
      </c>
      <c r="CC27" s="39">
        <v>15</v>
      </c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</row>
    <row r="28" spans="1:294" s="31" customFormat="1" ht="27" customHeight="1">
      <c r="A28" s="92">
        <f>--SUBTOTAL(2,CC$12:CC28)</f>
        <v>16</v>
      </c>
      <c r="B28" s="733" t="str">
        <f>IF(FILIACIÓN!B26="","",UPPER(FILIACIÓN!B26))</f>
        <v/>
      </c>
      <c r="C28" s="734"/>
      <c r="D28" s="735"/>
      <c r="E28" s="465" t="str">
        <f>'ASISTENCIA 3'!CD29</f>
        <v/>
      </c>
      <c r="F28" s="544"/>
      <c r="G28" s="544"/>
      <c r="H28" s="544"/>
      <c r="I28" s="544"/>
      <c r="J28" s="544"/>
      <c r="K28" s="544"/>
      <c r="L28" s="544"/>
      <c r="M28" s="89"/>
      <c r="N28" s="89"/>
      <c r="O28" s="344" t="str">
        <f t="shared" si="0"/>
        <v/>
      </c>
      <c r="P28" s="59"/>
      <c r="Q28" s="120"/>
      <c r="R28" s="502"/>
      <c r="S28" s="502"/>
      <c r="T28" s="502"/>
      <c r="U28" s="502"/>
      <c r="V28" s="502"/>
      <c r="W28" s="502"/>
      <c r="X28" s="502"/>
      <c r="Y28" s="502"/>
      <c r="Z28" s="502"/>
      <c r="AA28" s="121"/>
      <c r="AB28" s="89"/>
      <c r="AC28" s="89"/>
      <c r="AD28" s="89"/>
      <c r="AE28" s="89"/>
      <c r="AF28" s="344" t="str">
        <f t="shared" si="1"/>
        <v/>
      </c>
      <c r="AG28" s="59"/>
      <c r="AH28" s="120"/>
      <c r="AI28" s="502"/>
      <c r="AJ28" s="502"/>
      <c r="AK28" s="502"/>
      <c r="AL28" s="502"/>
      <c r="AM28" s="502"/>
      <c r="AN28" s="502"/>
      <c r="AO28" s="502"/>
      <c r="AP28" s="502"/>
      <c r="AQ28" s="502"/>
      <c r="AR28" s="121"/>
      <c r="AS28" s="121"/>
      <c r="AT28" s="121"/>
      <c r="AU28" s="121"/>
      <c r="AV28" s="89"/>
      <c r="AW28" s="344" t="str">
        <f t="shared" si="2"/>
        <v/>
      </c>
      <c r="AX28" s="59"/>
      <c r="AY28" s="120"/>
      <c r="AZ28" s="502"/>
      <c r="BA28" s="502"/>
      <c r="BB28" s="502"/>
      <c r="BC28" s="502"/>
      <c r="BD28" s="502"/>
      <c r="BE28" s="502"/>
      <c r="BF28" s="502"/>
      <c r="BG28" s="89"/>
      <c r="BH28" s="89"/>
      <c r="BI28" s="344" t="str">
        <f t="shared" si="3"/>
        <v/>
      </c>
      <c r="BJ28" s="338"/>
      <c r="BK28" s="432"/>
      <c r="BL28" s="340"/>
      <c r="BM28" s="196" t="str">
        <f t="shared" si="4"/>
        <v/>
      </c>
      <c r="BN28" s="462" t="str">
        <f t="shared" si="5"/>
        <v/>
      </c>
      <c r="BO28" s="192" t="str">
        <f t="shared" si="6"/>
        <v xml:space="preserve"> </v>
      </c>
      <c r="BP28" s="460" t="str">
        <f>FILIACIÓN!Y26</f>
        <v/>
      </c>
      <c r="BQ28" s="460" t="str">
        <f t="shared" si="7"/>
        <v/>
      </c>
      <c r="BR28" s="460" t="str">
        <f t="shared" si="8"/>
        <v/>
      </c>
      <c r="BS28" s="460"/>
      <c r="BT28" s="425" t="str">
        <f>'1ER TRIMESTRE'!BM28</f>
        <v/>
      </c>
      <c r="BU28" s="425" t="str">
        <f>'2DO TRIMESTRE'!BM28</f>
        <v/>
      </c>
      <c r="BV28" s="425" t="str">
        <f t="shared" si="9"/>
        <v/>
      </c>
      <c r="BW28" s="82"/>
      <c r="BX28" s="82"/>
      <c r="BY28" s="82"/>
      <c r="BZ28" s="39"/>
      <c r="CA28" s="531" t="str">
        <f t="shared" si="10"/>
        <v/>
      </c>
      <c r="CB28" s="30" t="str">
        <f>IF(FILIACIÓN!Z26="MOSTRAR","1","")</f>
        <v/>
      </c>
      <c r="CC28" s="39">
        <v>16</v>
      </c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</row>
    <row r="29" spans="1:294" s="31" customFormat="1" ht="27" customHeight="1">
      <c r="A29" s="92">
        <f>--SUBTOTAL(2,CC$12:CC29)</f>
        <v>17</v>
      </c>
      <c r="B29" s="733" t="str">
        <f>IF(FILIACIÓN!B27="","",UPPER(FILIACIÓN!B27))</f>
        <v/>
      </c>
      <c r="C29" s="734"/>
      <c r="D29" s="735"/>
      <c r="E29" s="465" t="str">
        <f>'ASISTENCIA 3'!CD30</f>
        <v/>
      </c>
      <c r="F29" s="544"/>
      <c r="G29" s="544"/>
      <c r="H29" s="544"/>
      <c r="I29" s="544"/>
      <c r="J29" s="544"/>
      <c r="K29" s="544"/>
      <c r="L29" s="544"/>
      <c r="M29" s="89"/>
      <c r="N29" s="89"/>
      <c r="O29" s="344" t="str">
        <f t="shared" si="0"/>
        <v/>
      </c>
      <c r="P29" s="59"/>
      <c r="Q29" s="120"/>
      <c r="R29" s="502"/>
      <c r="S29" s="502"/>
      <c r="T29" s="502"/>
      <c r="U29" s="502"/>
      <c r="V29" s="502"/>
      <c r="W29" s="502"/>
      <c r="X29" s="502"/>
      <c r="Y29" s="502"/>
      <c r="Z29" s="502"/>
      <c r="AA29" s="121"/>
      <c r="AB29" s="89"/>
      <c r="AC29" s="89"/>
      <c r="AD29" s="89"/>
      <c r="AE29" s="89"/>
      <c r="AF29" s="344" t="str">
        <f t="shared" si="1"/>
        <v/>
      </c>
      <c r="AG29" s="59"/>
      <c r="AH29" s="120"/>
      <c r="AI29" s="502"/>
      <c r="AJ29" s="502"/>
      <c r="AK29" s="502"/>
      <c r="AL29" s="502"/>
      <c r="AM29" s="502"/>
      <c r="AN29" s="502"/>
      <c r="AO29" s="502"/>
      <c r="AP29" s="502"/>
      <c r="AQ29" s="502"/>
      <c r="AR29" s="121"/>
      <c r="AS29" s="121"/>
      <c r="AT29" s="121"/>
      <c r="AU29" s="121"/>
      <c r="AV29" s="89"/>
      <c r="AW29" s="344" t="str">
        <f t="shared" si="2"/>
        <v/>
      </c>
      <c r="AX29" s="59"/>
      <c r="AY29" s="120"/>
      <c r="AZ29" s="502"/>
      <c r="BA29" s="502"/>
      <c r="BB29" s="502"/>
      <c r="BC29" s="502"/>
      <c r="BD29" s="502"/>
      <c r="BE29" s="502"/>
      <c r="BF29" s="502"/>
      <c r="BG29" s="89"/>
      <c r="BH29" s="89"/>
      <c r="BI29" s="344" t="str">
        <f t="shared" si="3"/>
        <v/>
      </c>
      <c r="BJ29" s="338"/>
      <c r="BK29" s="432"/>
      <c r="BL29" s="340"/>
      <c r="BM29" s="196" t="str">
        <f t="shared" si="4"/>
        <v/>
      </c>
      <c r="BN29" s="462" t="str">
        <f t="shared" si="5"/>
        <v/>
      </c>
      <c r="BO29" s="192" t="str">
        <f t="shared" si="6"/>
        <v xml:space="preserve"> </v>
      </c>
      <c r="BP29" s="460" t="str">
        <f>FILIACIÓN!Y27</f>
        <v/>
      </c>
      <c r="BQ29" s="460" t="str">
        <f t="shared" si="7"/>
        <v/>
      </c>
      <c r="BR29" s="460" t="str">
        <f t="shared" si="8"/>
        <v/>
      </c>
      <c r="BS29" s="460"/>
      <c r="BT29" s="425" t="str">
        <f>'1ER TRIMESTRE'!BM29</f>
        <v/>
      </c>
      <c r="BU29" s="425" t="str">
        <f>'2DO TRIMESTRE'!BM29</f>
        <v/>
      </c>
      <c r="BV29" s="425" t="str">
        <f t="shared" si="9"/>
        <v/>
      </c>
      <c r="BW29" s="82"/>
      <c r="BX29" s="82"/>
      <c r="BY29" s="82"/>
      <c r="BZ29" s="39"/>
      <c r="CA29" s="531" t="str">
        <f t="shared" si="10"/>
        <v/>
      </c>
      <c r="CB29" s="30" t="str">
        <f>IF(FILIACIÓN!Z27="MOSTRAR","1","")</f>
        <v/>
      </c>
      <c r="CC29" s="39">
        <v>17</v>
      </c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</row>
    <row r="30" spans="1:294" s="31" customFormat="1" ht="27" customHeight="1">
      <c r="A30" s="92">
        <f>--SUBTOTAL(2,CC$12:CC30)</f>
        <v>18</v>
      </c>
      <c r="B30" s="733" t="str">
        <f>IF(FILIACIÓN!B28="","",UPPER(FILIACIÓN!B28))</f>
        <v/>
      </c>
      <c r="C30" s="734"/>
      <c r="D30" s="735"/>
      <c r="E30" s="465" t="str">
        <f>'ASISTENCIA 3'!CD31</f>
        <v/>
      </c>
      <c r="F30" s="544"/>
      <c r="G30" s="544"/>
      <c r="H30" s="544"/>
      <c r="I30" s="544"/>
      <c r="J30" s="544"/>
      <c r="K30" s="544"/>
      <c r="L30" s="544"/>
      <c r="M30" s="89"/>
      <c r="N30" s="89"/>
      <c r="O30" s="344" t="str">
        <f t="shared" si="0"/>
        <v/>
      </c>
      <c r="P30" s="59"/>
      <c r="Q30" s="120"/>
      <c r="R30" s="502"/>
      <c r="S30" s="502"/>
      <c r="T30" s="502"/>
      <c r="U30" s="502"/>
      <c r="V30" s="502"/>
      <c r="W30" s="502"/>
      <c r="X30" s="502"/>
      <c r="Y30" s="502"/>
      <c r="Z30" s="502"/>
      <c r="AA30" s="121"/>
      <c r="AB30" s="89"/>
      <c r="AC30" s="89"/>
      <c r="AD30" s="89"/>
      <c r="AE30" s="89"/>
      <c r="AF30" s="344" t="str">
        <f t="shared" si="1"/>
        <v/>
      </c>
      <c r="AG30" s="59"/>
      <c r="AH30" s="120"/>
      <c r="AI30" s="502"/>
      <c r="AJ30" s="502"/>
      <c r="AK30" s="502"/>
      <c r="AL30" s="502"/>
      <c r="AM30" s="502"/>
      <c r="AN30" s="502"/>
      <c r="AO30" s="502"/>
      <c r="AP30" s="502"/>
      <c r="AQ30" s="502"/>
      <c r="AR30" s="121"/>
      <c r="AS30" s="121"/>
      <c r="AT30" s="121"/>
      <c r="AU30" s="121"/>
      <c r="AV30" s="89"/>
      <c r="AW30" s="344" t="str">
        <f t="shared" si="2"/>
        <v/>
      </c>
      <c r="AX30" s="59"/>
      <c r="AY30" s="120"/>
      <c r="AZ30" s="502"/>
      <c r="BA30" s="502"/>
      <c r="BB30" s="502"/>
      <c r="BC30" s="502"/>
      <c r="BD30" s="502"/>
      <c r="BE30" s="502"/>
      <c r="BF30" s="502"/>
      <c r="BG30" s="89"/>
      <c r="BH30" s="89"/>
      <c r="BI30" s="344" t="str">
        <f t="shared" si="3"/>
        <v/>
      </c>
      <c r="BJ30" s="338"/>
      <c r="BK30" s="432"/>
      <c r="BL30" s="340"/>
      <c r="BM30" s="196" t="str">
        <f t="shared" si="4"/>
        <v/>
      </c>
      <c r="BN30" s="462" t="str">
        <f t="shared" si="5"/>
        <v/>
      </c>
      <c r="BO30" s="192" t="str">
        <f t="shared" si="6"/>
        <v xml:space="preserve"> </v>
      </c>
      <c r="BP30" s="460" t="str">
        <f>FILIACIÓN!Y28</f>
        <v/>
      </c>
      <c r="BQ30" s="460" t="str">
        <f t="shared" si="7"/>
        <v/>
      </c>
      <c r="BR30" s="460" t="str">
        <f t="shared" si="8"/>
        <v/>
      </c>
      <c r="BS30" s="460"/>
      <c r="BT30" s="425" t="str">
        <f>'1ER TRIMESTRE'!BM30</f>
        <v/>
      </c>
      <c r="BU30" s="425" t="str">
        <f>'2DO TRIMESTRE'!BM30</f>
        <v/>
      </c>
      <c r="BV30" s="425" t="str">
        <f t="shared" si="9"/>
        <v/>
      </c>
      <c r="BW30" s="82"/>
      <c r="BX30" s="82"/>
      <c r="BY30" s="82"/>
      <c r="BZ30" s="39"/>
      <c r="CA30" s="531" t="str">
        <f t="shared" si="10"/>
        <v/>
      </c>
      <c r="CB30" s="30" t="str">
        <f>IF(FILIACIÓN!Z28="MOSTRAR","1","")</f>
        <v/>
      </c>
      <c r="CC30" s="39">
        <v>18</v>
      </c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</row>
    <row r="31" spans="1:294" s="31" customFormat="1" ht="27" customHeight="1">
      <c r="A31" s="92">
        <f>--SUBTOTAL(2,CC$12:CC31)</f>
        <v>19</v>
      </c>
      <c r="B31" s="733" t="str">
        <f>IF(FILIACIÓN!B29="","",UPPER(FILIACIÓN!B29))</f>
        <v/>
      </c>
      <c r="C31" s="734"/>
      <c r="D31" s="735"/>
      <c r="E31" s="465" t="str">
        <f>'ASISTENCIA 3'!CD32</f>
        <v/>
      </c>
      <c r="F31" s="544"/>
      <c r="G31" s="544"/>
      <c r="H31" s="544"/>
      <c r="I31" s="544"/>
      <c r="J31" s="544"/>
      <c r="K31" s="544"/>
      <c r="L31" s="544"/>
      <c r="M31" s="89"/>
      <c r="N31" s="89"/>
      <c r="O31" s="344" t="str">
        <f t="shared" si="0"/>
        <v/>
      </c>
      <c r="P31" s="59"/>
      <c r="Q31" s="120"/>
      <c r="R31" s="502"/>
      <c r="S31" s="502"/>
      <c r="T31" s="502"/>
      <c r="U31" s="502"/>
      <c r="V31" s="502"/>
      <c r="W31" s="502"/>
      <c r="X31" s="502"/>
      <c r="Y31" s="502"/>
      <c r="Z31" s="502"/>
      <c r="AA31" s="121"/>
      <c r="AB31" s="89"/>
      <c r="AC31" s="89"/>
      <c r="AD31" s="89"/>
      <c r="AE31" s="89"/>
      <c r="AF31" s="344" t="str">
        <f t="shared" si="1"/>
        <v/>
      </c>
      <c r="AG31" s="59"/>
      <c r="AH31" s="120"/>
      <c r="AI31" s="502"/>
      <c r="AJ31" s="502"/>
      <c r="AK31" s="502"/>
      <c r="AL31" s="502"/>
      <c r="AM31" s="502"/>
      <c r="AN31" s="502"/>
      <c r="AO31" s="502"/>
      <c r="AP31" s="502"/>
      <c r="AQ31" s="502"/>
      <c r="AR31" s="121"/>
      <c r="AS31" s="121"/>
      <c r="AT31" s="121"/>
      <c r="AU31" s="121"/>
      <c r="AV31" s="89"/>
      <c r="AW31" s="344" t="str">
        <f t="shared" si="2"/>
        <v/>
      </c>
      <c r="AX31" s="59"/>
      <c r="AY31" s="120"/>
      <c r="AZ31" s="502"/>
      <c r="BA31" s="502"/>
      <c r="BB31" s="502"/>
      <c r="BC31" s="502"/>
      <c r="BD31" s="502"/>
      <c r="BE31" s="502"/>
      <c r="BF31" s="502"/>
      <c r="BG31" s="89"/>
      <c r="BH31" s="89"/>
      <c r="BI31" s="344" t="str">
        <f t="shared" si="3"/>
        <v/>
      </c>
      <c r="BJ31" s="338"/>
      <c r="BK31" s="432"/>
      <c r="BL31" s="340"/>
      <c r="BM31" s="196" t="str">
        <f t="shared" si="4"/>
        <v/>
      </c>
      <c r="BN31" s="462" t="str">
        <f t="shared" si="5"/>
        <v/>
      </c>
      <c r="BO31" s="192" t="str">
        <f t="shared" si="6"/>
        <v xml:space="preserve"> </v>
      </c>
      <c r="BP31" s="460" t="str">
        <f>FILIACIÓN!Y29</f>
        <v/>
      </c>
      <c r="BQ31" s="460" t="str">
        <f t="shared" si="7"/>
        <v/>
      </c>
      <c r="BR31" s="460" t="str">
        <f t="shared" si="8"/>
        <v/>
      </c>
      <c r="BS31" s="460"/>
      <c r="BT31" s="425" t="str">
        <f>'1ER TRIMESTRE'!BM31</f>
        <v/>
      </c>
      <c r="BU31" s="425" t="str">
        <f>'2DO TRIMESTRE'!BM31</f>
        <v/>
      </c>
      <c r="BV31" s="425" t="str">
        <f t="shared" si="9"/>
        <v/>
      </c>
      <c r="BW31" s="82"/>
      <c r="BX31" s="82"/>
      <c r="BY31" s="82"/>
      <c r="BZ31" s="39"/>
      <c r="CA31" s="531" t="str">
        <f t="shared" si="10"/>
        <v/>
      </c>
      <c r="CB31" s="30" t="str">
        <f>IF(FILIACIÓN!Z29="MOSTRAR","1","")</f>
        <v/>
      </c>
      <c r="CC31" s="39">
        <v>19</v>
      </c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</row>
    <row r="32" spans="1:294" s="31" customFormat="1" ht="27" customHeight="1">
      <c r="A32" s="92">
        <f>--SUBTOTAL(2,CC$12:CC32)</f>
        <v>20</v>
      </c>
      <c r="B32" s="733" t="str">
        <f>IF(FILIACIÓN!B30="","",UPPER(FILIACIÓN!B30))</f>
        <v/>
      </c>
      <c r="C32" s="734"/>
      <c r="D32" s="735"/>
      <c r="E32" s="465" t="str">
        <f>'ASISTENCIA 3'!CD33</f>
        <v/>
      </c>
      <c r="F32" s="544"/>
      <c r="G32" s="544"/>
      <c r="H32" s="544"/>
      <c r="I32" s="544"/>
      <c r="J32" s="544"/>
      <c r="K32" s="544"/>
      <c r="L32" s="544"/>
      <c r="M32" s="89"/>
      <c r="N32" s="89"/>
      <c r="O32" s="344" t="str">
        <f t="shared" si="0"/>
        <v/>
      </c>
      <c r="P32" s="59"/>
      <c r="Q32" s="120"/>
      <c r="R32" s="502"/>
      <c r="S32" s="502"/>
      <c r="T32" s="502"/>
      <c r="U32" s="502"/>
      <c r="V32" s="502"/>
      <c r="W32" s="502"/>
      <c r="X32" s="502"/>
      <c r="Y32" s="502"/>
      <c r="Z32" s="502"/>
      <c r="AA32" s="121"/>
      <c r="AB32" s="89"/>
      <c r="AC32" s="89"/>
      <c r="AD32" s="89"/>
      <c r="AE32" s="89"/>
      <c r="AF32" s="344" t="str">
        <f t="shared" si="1"/>
        <v/>
      </c>
      <c r="AG32" s="59"/>
      <c r="AH32" s="120"/>
      <c r="AI32" s="502"/>
      <c r="AJ32" s="502"/>
      <c r="AK32" s="502"/>
      <c r="AL32" s="502"/>
      <c r="AM32" s="502"/>
      <c r="AN32" s="502"/>
      <c r="AO32" s="502"/>
      <c r="AP32" s="502"/>
      <c r="AQ32" s="502"/>
      <c r="AR32" s="121"/>
      <c r="AS32" s="121"/>
      <c r="AT32" s="121"/>
      <c r="AU32" s="121"/>
      <c r="AV32" s="89"/>
      <c r="AW32" s="344" t="str">
        <f t="shared" si="2"/>
        <v/>
      </c>
      <c r="AX32" s="59"/>
      <c r="AY32" s="120"/>
      <c r="AZ32" s="502"/>
      <c r="BA32" s="502"/>
      <c r="BB32" s="502"/>
      <c r="BC32" s="502"/>
      <c r="BD32" s="502"/>
      <c r="BE32" s="502"/>
      <c r="BF32" s="502"/>
      <c r="BG32" s="89"/>
      <c r="BH32" s="89"/>
      <c r="BI32" s="344" t="str">
        <f t="shared" si="3"/>
        <v/>
      </c>
      <c r="BJ32" s="338"/>
      <c r="BK32" s="432"/>
      <c r="BL32" s="340"/>
      <c r="BM32" s="196" t="str">
        <f t="shared" si="4"/>
        <v/>
      </c>
      <c r="BN32" s="462" t="str">
        <f t="shared" si="5"/>
        <v/>
      </c>
      <c r="BO32" s="192" t="str">
        <f t="shared" si="6"/>
        <v xml:space="preserve"> </v>
      </c>
      <c r="BP32" s="460" t="str">
        <f>FILIACIÓN!Y30</f>
        <v/>
      </c>
      <c r="BQ32" s="460" t="str">
        <f t="shared" si="7"/>
        <v/>
      </c>
      <c r="BR32" s="460" t="str">
        <f t="shared" si="8"/>
        <v/>
      </c>
      <c r="BS32" s="460"/>
      <c r="BT32" s="425" t="str">
        <f>'1ER TRIMESTRE'!BM32</f>
        <v/>
      </c>
      <c r="BU32" s="425" t="str">
        <f>'2DO TRIMESTRE'!BM32</f>
        <v/>
      </c>
      <c r="BV32" s="425" t="str">
        <f t="shared" si="9"/>
        <v/>
      </c>
      <c r="BW32" s="82"/>
      <c r="BX32" s="82"/>
      <c r="BY32" s="82"/>
      <c r="BZ32" s="39"/>
      <c r="CA32" s="531" t="str">
        <f t="shared" si="10"/>
        <v/>
      </c>
      <c r="CB32" s="30" t="str">
        <f>IF(FILIACIÓN!Z30="MOSTRAR","1","")</f>
        <v/>
      </c>
      <c r="CC32" s="39">
        <v>20</v>
      </c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</row>
    <row r="33" spans="1:294" s="31" customFormat="1" ht="27" customHeight="1">
      <c r="A33" s="92">
        <f>--SUBTOTAL(2,CC$12:CC33)</f>
        <v>21</v>
      </c>
      <c r="B33" s="733" t="str">
        <f>IF(FILIACIÓN!B31="","",UPPER(FILIACIÓN!B31))</f>
        <v/>
      </c>
      <c r="C33" s="734"/>
      <c r="D33" s="735"/>
      <c r="E33" s="465" t="str">
        <f>'ASISTENCIA 3'!CD34</f>
        <v/>
      </c>
      <c r="F33" s="544"/>
      <c r="G33" s="544"/>
      <c r="H33" s="544"/>
      <c r="I33" s="544"/>
      <c r="J33" s="544"/>
      <c r="K33" s="544"/>
      <c r="L33" s="544"/>
      <c r="M33" s="89"/>
      <c r="N33" s="89"/>
      <c r="O33" s="344" t="str">
        <f t="shared" si="0"/>
        <v/>
      </c>
      <c r="P33" s="59"/>
      <c r="Q33" s="120"/>
      <c r="R33" s="502"/>
      <c r="S33" s="502"/>
      <c r="T33" s="502"/>
      <c r="U33" s="502"/>
      <c r="V33" s="502"/>
      <c r="W33" s="502"/>
      <c r="X33" s="502"/>
      <c r="Y33" s="502"/>
      <c r="Z33" s="502"/>
      <c r="AA33" s="121"/>
      <c r="AB33" s="89"/>
      <c r="AC33" s="89"/>
      <c r="AD33" s="89"/>
      <c r="AE33" s="89"/>
      <c r="AF33" s="344" t="str">
        <f t="shared" si="1"/>
        <v/>
      </c>
      <c r="AG33" s="59"/>
      <c r="AH33" s="120"/>
      <c r="AI33" s="502"/>
      <c r="AJ33" s="502"/>
      <c r="AK33" s="502"/>
      <c r="AL33" s="502"/>
      <c r="AM33" s="502"/>
      <c r="AN33" s="502"/>
      <c r="AO33" s="502"/>
      <c r="AP33" s="502"/>
      <c r="AQ33" s="502"/>
      <c r="AR33" s="121"/>
      <c r="AS33" s="121"/>
      <c r="AT33" s="121"/>
      <c r="AU33" s="121"/>
      <c r="AV33" s="89"/>
      <c r="AW33" s="344" t="str">
        <f t="shared" si="2"/>
        <v/>
      </c>
      <c r="AX33" s="59"/>
      <c r="AY33" s="120"/>
      <c r="AZ33" s="502"/>
      <c r="BA33" s="502"/>
      <c r="BB33" s="502"/>
      <c r="BC33" s="502"/>
      <c r="BD33" s="502"/>
      <c r="BE33" s="502"/>
      <c r="BF33" s="502"/>
      <c r="BG33" s="89"/>
      <c r="BH33" s="89"/>
      <c r="BI33" s="344" t="str">
        <f t="shared" si="3"/>
        <v/>
      </c>
      <c r="BJ33" s="338"/>
      <c r="BK33" s="432"/>
      <c r="BL33" s="340"/>
      <c r="BM33" s="196" t="str">
        <f t="shared" si="4"/>
        <v/>
      </c>
      <c r="BN33" s="462" t="str">
        <f t="shared" si="5"/>
        <v/>
      </c>
      <c r="BO33" s="192" t="str">
        <f t="shared" si="6"/>
        <v xml:space="preserve"> </v>
      </c>
      <c r="BP33" s="460" t="str">
        <f>FILIACIÓN!Y31</f>
        <v/>
      </c>
      <c r="BQ33" s="460" t="str">
        <f t="shared" si="7"/>
        <v/>
      </c>
      <c r="BR33" s="460" t="str">
        <f t="shared" si="8"/>
        <v/>
      </c>
      <c r="BS33" s="460"/>
      <c r="BT33" s="425" t="str">
        <f>'1ER TRIMESTRE'!BM33</f>
        <v/>
      </c>
      <c r="BU33" s="425" t="str">
        <f>'2DO TRIMESTRE'!BM33</f>
        <v/>
      </c>
      <c r="BV33" s="425" t="str">
        <f t="shared" si="9"/>
        <v/>
      </c>
      <c r="BW33" s="82"/>
      <c r="BX33" s="82"/>
      <c r="BY33" s="82"/>
      <c r="BZ33" s="39"/>
      <c r="CA33" s="531" t="str">
        <f t="shared" si="10"/>
        <v/>
      </c>
      <c r="CB33" s="30" t="str">
        <f>IF(FILIACIÓN!Z31="MOSTRAR","1","")</f>
        <v/>
      </c>
      <c r="CC33" s="39">
        <v>21</v>
      </c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</row>
    <row r="34" spans="1:294" s="31" customFormat="1" ht="27" customHeight="1">
      <c r="A34" s="92">
        <f>--SUBTOTAL(2,CC$12:CC34)</f>
        <v>22</v>
      </c>
      <c r="B34" s="733" t="str">
        <f>IF(FILIACIÓN!B32="","",UPPER(FILIACIÓN!B32))</f>
        <v/>
      </c>
      <c r="C34" s="734"/>
      <c r="D34" s="735"/>
      <c r="E34" s="465" t="str">
        <f>'ASISTENCIA 3'!CD35</f>
        <v/>
      </c>
      <c r="F34" s="544"/>
      <c r="G34" s="544"/>
      <c r="H34" s="544"/>
      <c r="I34" s="544"/>
      <c r="J34" s="544"/>
      <c r="K34" s="544"/>
      <c r="L34" s="544"/>
      <c r="M34" s="89"/>
      <c r="N34" s="89"/>
      <c r="O34" s="344" t="str">
        <f t="shared" si="0"/>
        <v/>
      </c>
      <c r="P34" s="59"/>
      <c r="Q34" s="120"/>
      <c r="R34" s="502"/>
      <c r="S34" s="502"/>
      <c r="T34" s="502"/>
      <c r="U34" s="502"/>
      <c r="V34" s="502"/>
      <c r="W34" s="502"/>
      <c r="X34" s="502"/>
      <c r="Y34" s="502"/>
      <c r="Z34" s="502"/>
      <c r="AA34" s="121"/>
      <c r="AB34" s="89"/>
      <c r="AC34" s="89"/>
      <c r="AD34" s="89"/>
      <c r="AE34" s="89"/>
      <c r="AF34" s="344" t="str">
        <f t="shared" si="1"/>
        <v/>
      </c>
      <c r="AG34" s="59"/>
      <c r="AH34" s="120"/>
      <c r="AI34" s="502"/>
      <c r="AJ34" s="502"/>
      <c r="AK34" s="502"/>
      <c r="AL34" s="502"/>
      <c r="AM34" s="502"/>
      <c r="AN34" s="502"/>
      <c r="AO34" s="502"/>
      <c r="AP34" s="502"/>
      <c r="AQ34" s="502"/>
      <c r="AR34" s="121"/>
      <c r="AS34" s="121"/>
      <c r="AT34" s="121"/>
      <c r="AU34" s="121"/>
      <c r="AV34" s="89"/>
      <c r="AW34" s="344" t="str">
        <f t="shared" si="2"/>
        <v/>
      </c>
      <c r="AX34" s="59"/>
      <c r="AY34" s="120"/>
      <c r="AZ34" s="502"/>
      <c r="BA34" s="502"/>
      <c r="BB34" s="502"/>
      <c r="BC34" s="502"/>
      <c r="BD34" s="502"/>
      <c r="BE34" s="502"/>
      <c r="BF34" s="502"/>
      <c r="BG34" s="89"/>
      <c r="BH34" s="89"/>
      <c r="BI34" s="344" t="str">
        <f t="shared" si="3"/>
        <v/>
      </c>
      <c r="BJ34" s="338"/>
      <c r="BK34" s="432"/>
      <c r="BL34" s="340"/>
      <c r="BM34" s="196" t="str">
        <f t="shared" si="4"/>
        <v/>
      </c>
      <c r="BN34" s="462" t="str">
        <f t="shared" si="5"/>
        <v/>
      </c>
      <c r="BO34" s="192" t="str">
        <f t="shared" si="6"/>
        <v xml:space="preserve"> </v>
      </c>
      <c r="BP34" s="460" t="str">
        <f>FILIACIÓN!Y32</f>
        <v/>
      </c>
      <c r="BQ34" s="460" t="str">
        <f t="shared" si="7"/>
        <v/>
      </c>
      <c r="BR34" s="460" t="str">
        <f t="shared" si="8"/>
        <v/>
      </c>
      <c r="BS34" s="460"/>
      <c r="BT34" s="425" t="str">
        <f>'1ER TRIMESTRE'!BM34</f>
        <v/>
      </c>
      <c r="BU34" s="425" t="str">
        <f>'2DO TRIMESTRE'!BM34</f>
        <v/>
      </c>
      <c r="BV34" s="425" t="str">
        <f t="shared" si="9"/>
        <v/>
      </c>
      <c r="BW34" s="82"/>
      <c r="BX34" s="82"/>
      <c r="BY34" s="82"/>
      <c r="BZ34" s="39"/>
      <c r="CA34" s="531" t="str">
        <f t="shared" si="10"/>
        <v/>
      </c>
      <c r="CB34" s="30" t="str">
        <f>IF(FILIACIÓN!Z32="MOSTRAR","1","")</f>
        <v/>
      </c>
      <c r="CC34" s="39">
        <v>22</v>
      </c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</row>
    <row r="35" spans="1:294" s="31" customFormat="1" ht="27" customHeight="1">
      <c r="A35" s="92">
        <f>--SUBTOTAL(2,CC$12:CC35)</f>
        <v>23</v>
      </c>
      <c r="B35" s="733" t="str">
        <f>IF(FILIACIÓN!B33="","",UPPER(FILIACIÓN!B33))</f>
        <v/>
      </c>
      <c r="C35" s="734"/>
      <c r="D35" s="735"/>
      <c r="E35" s="465" t="str">
        <f>'ASISTENCIA 3'!CD36</f>
        <v/>
      </c>
      <c r="F35" s="544"/>
      <c r="G35" s="544"/>
      <c r="H35" s="544"/>
      <c r="I35" s="544"/>
      <c r="J35" s="544"/>
      <c r="K35" s="544"/>
      <c r="L35" s="544"/>
      <c r="M35" s="89"/>
      <c r="N35" s="89"/>
      <c r="O35" s="344" t="str">
        <f t="shared" si="0"/>
        <v/>
      </c>
      <c r="P35" s="59"/>
      <c r="Q35" s="120"/>
      <c r="R35" s="502"/>
      <c r="S35" s="502"/>
      <c r="T35" s="502"/>
      <c r="U35" s="502"/>
      <c r="V35" s="502"/>
      <c r="W35" s="502"/>
      <c r="X35" s="502"/>
      <c r="Y35" s="502"/>
      <c r="Z35" s="502"/>
      <c r="AA35" s="121"/>
      <c r="AB35" s="89"/>
      <c r="AC35" s="89"/>
      <c r="AD35" s="89"/>
      <c r="AE35" s="89"/>
      <c r="AF35" s="344" t="str">
        <f t="shared" si="1"/>
        <v/>
      </c>
      <c r="AG35" s="59"/>
      <c r="AH35" s="120"/>
      <c r="AI35" s="502"/>
      <c r="AJ35" s="502"/>
      <c r="AK35" s="502"/>
      <c r="AL35" s="502"/>
      <c r="AM35" s="502"/>
      <c r="AN35" s="502"/>
      <c r="AO35" s="502"/>
      <c r="AP35" s="502"/>
      <c r="AQ35" s="502"/>
      <c r="AR35" s="121"/>
      <c r="AS35" s="121"/>
      <c r="AT35" s="121"/>
      <c r="AU35" s="121"/>
      <c r="AV35" s="89"/>
      <c r="AW35" s="344" t="str">
        <f t="shared" si="2"/>
        <v/>
      </c>
      <c r="AX35" s="59"/>
      <c r="AY35" s="120"/>
      <c r="AZ35" s="502"/>
      <c r="BA35" s="502"/>
      <c r="BB35" s="502"/>
      <c r="BC35" s="502"/>
      <c r="BD35" s="502"/>
      <c r="BE35" s="502"/>
      <c r="BF35" s="502"/>
      <c r="BG35" s="89"/>
      <c r="BH35" s="89"/>
      <c r="BI35" s="344" t="str">
        <f t="shared" si="3"/>
        <v/>
      </c>
      <c r="BJ35" s="338"/>
      <c r="BK35" s="432"/>
      <c r="BL35" s="340"/>
      <c r="BM35" s="196" t="str">
        <f t="shared" si="4"/>
        <v/>
      </c>
      <c r="BN35" s="462" t="str">
        <f t="shared" si="5"/>
        <v/>
      </c>
      <c r="BO35" s="192" t="str">
        <f t="shared" si="6"/>
        <v xml:space="preserve"> </v>
      </c>
      <c r="BP35" s="460" t="str">
        <f>FILIACIÓN!Y33</f>
        <v/>
      </c>
      <c r="BQ35" s="460" t="str">
        <f t="shared" si="7"/>
        <v/>
      </c>
      <c r="BR35" s="460" t="str">
        <f t="shared" si="8"/>
        <v/>
      </c>
      <c r="BS35" s="460"/>
      <c r="BT35" s="425" t="str">
        <f>'1ER TRIMESTRE'!BM35</f>
        <v/>
      </c>
      <c r="BU35" s="425" t="str">
        <f>'2DO TRIMESTRE'!BM35</f>
        <v/>
      </c>
      <c r="BV35" s="425" t="str">
        <f t="shared" si="9"/>
        <v/>
      </c>
      <c r="BW35" s="82"/>
      <c r="BX35" s="82"/>
      <c r="BY35" s="82"/>
      <c r="BZ35" s="39"/>
      <c r="CA35" s="531" t="str">
        <f t="shared" si="10"/>
        <v/>
      </c>
      <c r="CB35" s="30" t="str">
        <f>IF(FILIACIÓN!Z33="MOSTRAR","1","")</f>
        <v/>
      </c>
      <c r="CC35" s="39">
        <v>23</v>
      </c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</row>
    <row r="36" spans="1:294" s="31" customFormat="1" ht="27" customHeight="1">
      <c r="A36" s="92">
        <f>--SUBTOTAL(2,CC$12:CC36)</f>
        <v>24</v>
      </c>
      <c r="B36" s="733" t="str">
        <f>IF(FILIACIÓN!B34="","",UPPER(FILIACIÓN!B34))</f>
        <v/>
      </c>
      <c r="C36" s="734"/>
      <c r="D36" s="735"/>
      <c r="E36" s="465" t="str">
        <f>'ASISTENCIA 3'!CD37</f>
        <v/>
      </c>
      <c r="F36" s="544"/>
      <c r="G36" s="544"/>
      <c r="H36" s="544"/>
      <c r="I36" s="544"/>
      <c r="J36" s="544"/>
      <c r="K36" s="544"/>
      <c r="L36" s="544"/>
      <c r="M36" s="89"/>
      <c r="N36" s="89"/>
      <c r="O36" s="344" t="str">
        <f t="shared" si="0"/>
        <v/>
      </c>
      <c r="P36" s="59"/>
      <c r="Q36" s="120"/>
      <c r="R36" s="502"/>
      <c r="S36" s="502"/>
      <c r="T36" s="502"/>
      <c r="U36" s="502"/>
      <c r="V36" s="502"/>
      <c r="W36" s="502"/>
      <c r="X36" s="502"/>
      <c r="Y36" s="502"/>
      <c r="Z36" s="502"/>
      <c r="AA36" s="121"/>
      <c r="AB36" s="89"/>
      <c r="AC36" s="89"/>
      <c r="AD36" s="89"/>
      <c r="AE36" s="89"/>
      <c r="AF36" s="344" t="str">
        <f t="shared" si="1"/>
        <v/>
      </c>
      <c r="AG36" s="59"/>
      <c r="AH36" s="120"/>
      <c r="AI36" s="502"/>
      <c r="AJ36" s="502"/>
      <c r="AK36" s="502"/>
      <c r="AL36" s="502"/>
      <c r="AM36" s="502"/>
      <c r="AN36" s="502"/>
      <c r="AO36" s="502"/>
      <c r="AP36" s="502"/>
      <c r="AQ36" s="502"/>
      <c r="AR36" s="121"/>
      <c r="AS36" s="121"/>
      <c r="AT36" s="121"/>
      <c r="AU36" s="121"/>
      <c r="AV36" s="89"/>
      <c r="AW36" s="344" t="str">
        <f t="shared" si="2"/>
        <v/>
      </c>
      <c r="AX36" s="59"/>
      <c r="AY36" s="120"/>
      <c r="AZ36" s="502"/>
      <c r="BA36" s="502"/>
      <c r="BB36" s="502"/>
      <c r="BC36" s="502"/>
      <c r="BD36" s="502"/>
      <c r="BE36" s="502"/>
      <c r="BF36" s="502"/>
      <c r="BG36" s="89"/>
      <c r="BH36" s="89"/>
      <c r="BI36" s="344" t="str">
        <f t="shared" si="3"/>
        <v/>
      </c>
      <c r="BJ36" s="338"/>
      <c r="BK36" s="432"/>
      <c r="BL36" s="340"/>
      <c r="BM36" s="196" t="str">
        <f t="shared" si="4"/>
        <v/>
      </c>
      <c r="BN36" s="462" t="str">
        <f t="shared" si="5"/>
        <v/>
      </c>
      <c r="BO36" s="192" t="str">
        <f t="shared" si="6"/>
        <v xml:space="preserve"> </v>
      </c>
      <c r="BP36" s="460" t="str">
        <f>FILIACIÓN!Y34</f>
        <v/>
      </c>
      <c r="BQ36" s="460" t="str">
        <f t="shared" si="7"/>
        <v/>
      </c>
      <c r="BR36" s="460" t="str">
        <f t="shared" si="8"/>
        <v/>
      </c>
      <c r="BS36" s="460"/>
      <c r="BT36" s="425" t="str">
        <f>'1ER TRIMESTRE'!BM36</f>
        <v/>
      </c>
      <c r="BU36" s="425" t="str">
        <f>'2DO TRIMESTRE'!BM36</f>
        <v/>
      </c>
      <c r="BV36" s="425" t="str">
        <f t="shared" si="9"/>
        <v/>
      </c>
      <c r="BW36" s="82"/>
      <c r="BX36" s="82"/>
      <c r="BY36" s="82"/>
      <c r="BZ36" s="39"/>
      <c r="CA36" s="531" t="str">
        <f t="shared" si="10"/>
        <v/>
      </c>
      <c r="CB36" s="30" t="str">
        <f>IF(FILIACIÓN!Z34="MOSTRAR","1","")</f>
        <v/>
      </c>
      <c r="CC36" s="39">
        <v>24</v>
      </c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</row>
    <row r="37" spans="1:294" s="31" customFormat="1" ht="27" customHeight="1">
      <c r="A37" s="92">
        <f>--SUBTOTAL(2,CC$12:CC37)</f>
        <v>25</v>
      </c>
      <c r="B37" s="733" t="str">
        <f>IF(FILIACIÓN!B35="","",UPPER(FILIACIÓN!B35))</f>
        <v/>
      </c>
      <c r="C37" s="734"/>
      <c r="D37" s="735"/>
      <c r="E37" s="465" t="str">
        <f>'ASISTENCIA 3'!CD38</f>
        <v/>
      </c>
      <c r="F37" s="544"/>
      <c r="G37" s="544"/>
      <c r="H37" s="544"/>
      <c r="I37" s="544"/>
      <c r="J37" s="544"/>
      <c r="K37" s="544"/>
      <c r="L37" s="544"/>
      <c r="M37" s="89"/>
      <c r="N37" s="89"/>
      <c r="O37" s="344" t="str">
        <f t="shared" si="0"/>
        <v/>
      </c>
      <c r="P37" s="59"/>
      <c r="Q37" s="120"/>
      <c r="R37" s="502"/>
      <c r="S37" s="502"/>
      <c r="T37" s="502"/>
      <c r="U37" s="502"/>
      <c r="V37" s="502"/>
      <c r="W37" s="502"/>
      <c r="X37" s="502"/>
      <c r="Y37" s="502"/>
      <c r="Z37" s="502"/>
      <c r="AA37" s="121"/>
      <c r="AB37" s="89"/>
      <c r="AC37" s="89"/>
      <c r="AD37" s="89"/>
      <c r="AE37" s="89"/>
      <c r="AF37" s="344" t="str">
        <f t="shared" si="1"/>
        <v/>
      </c>
      <c r="AG37" s="59"/>
      <c r="AH37" s="120"/>
      <c r="AI37" s="502"/>
      <c r="AJ37" s="502"/>
      <c r="AK37" s="502"/>
      <c r="AL37" s="502"/>
      <c r="AM37" s="502"/>
      <c r="AN37" s="502"/>
      <c r="AO37" s="502"/>
      <c r="AP37" s="502"/>
      <c r="AQ37" s="502"/>
      <c r="AR37" s="121"/>
      <c r="AS37" s="121"/>
      <c r="AT37" s="121"/>
      <c r="AU37" s="121"/>
      <c r="AV37" s="89"/>
      <c r="AW37" s="344" t="str">
        <f t="shared" si="2"/>
        <v/>
      </c>
      <c r="AX37" s="58"/>
      <c r="AY37" s="120"/>
      <c r="AZ37" s="502"/>
      <c r="BA37" s="502"/>
      <c r="BB37" s="502"/>
      <c r="BC37" s="502"/>
      <c r="BD37" s="502"/>
      <c r="BE37" s="502"/>
      <c r="BF37" s="502"/>
      <c r="BG37" s="89"/>
      <c r="BH37" s="89"/>
      <c r="BI37" s="344" t="str">
        <f t="shared" si="3"/>
        <v/>
      </c>
      <c r="BJ37" s="339"/>
      <c r="BK37" s="432"/>
      <c r="BL37" s="341"/>
      <c r="BM37" s="196" t="str">
        <f t="shared" si="4"/>
        <v/>
      </c>
      <c r="BN37" s="462" t="str">
        <f t="shared" si="5"/>
        <v/>
      </c>
      <c r="BO37" s="192" t="str">
        <f t="shared" si="6"/>
        <v xml:space="preserve"> </v>
      </c>
      <c r="BP37" s="460" t="str">
        <f>FILIACIÓN!Y35</f>
        <v/>
      </c>
      <c r="BQ37" s="460" t="str">
        <f t="shared" si="7"/>
        <v/>
      </c>
      <c r="BR37" s="460" t="str">
        <f t="shared" si="8"/>
        <v/>
      </c>
      <c r="BS37" s="460"/>
      <c r="BT37" s="425" t="str">
        <f>'1ER TRIMESTRE'!BM37</f>
        <v/>
      </c>
      <c r="BU37" s="425" t="str">
        <f>'2DO TRIMESTRE'!BM37</f>
        <v/>
      </c>
      <c r="BV37" s="425" t="str">
        <f t="shared" si="9"/>
        <v/>
      </c>
      <c r="BW37" s="82"/>
      <c r="BX37" s="82"/>
      <c r="BY37" s="82"/>
      <c r="BZ37" s="39"/>
      <c r="CA37" s="531" t="str">
        <f t="shared" si="10"/>
        <v/>
      </c>
      <c r="CB37" s="30" t="str">
        <f>IF(FILIACIÓN!Z35="MOSTRAR","1","")</f>
        <v/>
      </c>
      <c r="CC37" s="39">
        <v>25</v>
      </c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  <c r="IV37" s="14"/>
      <c r="IW37" s="14"/>
      <c r="IX37" s="14"/>
      <c r="IY37" s="14"/>
      <c r="IZ37" s="14"/>
      <c r="JA37" s="14"/>
      <c r="JB37" s="14"/>
      <c r="JC37" s="14"/>
      <c r="JD37" s="14"/>
      <c r="JE37" s="14"/>
      <c r="JF37" s="14"/>
      <c r="JG37" s="14"/>
      <c r="JH37" s="14"/>
      <c r="JI37" s="14"/>
      <c r="JJ37" s="14"/>
      <c r="JK37" s="14"/>
      <c r="JL37" s="14"/>
      <c r="JM37" s="14"/>
      <c r="JN37" s="14"/>
      <c r="JO37" s="14"/>
      <c r="JP37" s="14"/>
      <c r="JQ37" s="14"/>
      <c r="JR37" s="14"/>
      <c r="JS37" s="14"/>
      <c r="JT37" s="14"/>
      <c r="JU37" s="14"/>
      <c r="JV37" s="14"/>
      <c r="JW37" s="14"/>
      <c r="JX37" s="14"/>
      <c r="JY37" s="14"/>
      <c r="JZ37" s="14"/>
      <c r="KA37" s="14"/>
      <c r="KB37" s="14"/>
      <c r="KC37" s="14"/>
      <c r="KD37" s="14"/>
      <c r="KE37" s="14"/>
      <c r="KF37" s="14"/>
      <c r="KG37" s="14"/>
      <c r="KH37" s="14"/>
    </row>
    <row r="38" spans="1:294" s="31" customFormat="1" ht="27" customHeight="1">
      <c r="A38" s="92">
        <f>--SUBTOTAL(2,CC$12:CC38)</f>
        <v>26</v>
      </c>
      <c r="B38" s="733" t="str">
        <f>IF(FILIACIÓN!B36="","",UPPER(FILIACIÓN!B36))</f>
        <v/>
      </c>
      <c r="C38" s="734"/>
      <c r="D38" s="735"/>
      <c r="E38" s="465" t="str">
        <f>'ASISTENCIA 3'!CD39</f>
        <v/>
      </c>
      <c r="F38" s="544"/>
      <c r="G38" s="544"/>
      <c r="H38" s="544"/>
      <c r="I38" s="544"/>
      <c r="J38" s="544"/>
      <c r="K38" s="544"/>
      <c r="L38" s="544"/>
      <c r="M38" s="89"/>
      <c r="N38" s="89"/>
      <c r="O38" s="344" t="str">
        <f t="shared" si="0"/>
        <v/>
      </c>
      <c r="P38" s="59"/>
      <c r="Q38" s="120"/>
      <c r="R38" s="502"/>
      <c r="S38" s="502"/>
      <c r="T38" s="502"/>
      <c r="U38" s="502"/>
      <c r="V38" s="502"/>
      <c r="W38" s="502"/>
      <c r="X38" s="502"/>
      <c r="Y38" s="502"/>
      <c r="Z38" s="502"/>
      <c r="AA38" s="121"/>
      <c r="AB38" s="89"/>
      <c r="AC38" s="89"/>
      <c r="AD38" s="89"/>
      <c r="AE38" s="89"/>
      <c r="AF38" s="344" t="str">
        <f t="shared" si="1"/>
        <v/>
      </c>
      <c r="AG38" s="59"/>
      <c r="AH38" s="120"/>
      <c r="AI38" s="502"/>
      <c r="AJ38" s="502"/>
      <c r="AK38" s="502"/>
      <c r="AL38" s="502"/>
      <c r="AM38" s="502"/>
      <c r="AN38" s="502"/>
      <c r="AO38" s="502"/>
      <c r="AP38" s="502"/>
      <c r="AQ38" s="502"/>
      <c r="AR38" s="121"/>
      <c r="AS38" s="121"/>
      <c r="AT38" s="121"/>
      <c r="AU38" s="121"/>
      <c r="AV38" s="89"/>
      <c r="AW38" s="344" t="str">
        <f t="shared" si="2"/>
        <v/>
      </c>
      <c r="AX38" s="59"/>
      <c r="AY38" s="120"/>
      <c r="AZ38" s="502"/>
      <c r="BA38" s="502"/>
      <c r="BB38" s="502"/>
      <c r="BC38" s="502"/>
      <c r="BD38" s="502"/>
      <c r="BE38" s="502"/>
      <c r="BF38" s="502"/>
      <c r="BG38" s="89"/>
      <c r="BH38" s="89"/>
      <c r="BI38" s="344" t="str">
        <f t="shared" si="3"/>
        <v/>
      </c>
      <c r="BJ38" s="338"/>
      <c r="BK38" s="432"/>
      <c r="BL38" s="340"/>
      <c r="BM38" s="196" t="str">
        <f t="shared" si="4"/>
        <v/>
      </c>
      <c r="BN38" s="462" t="str">
        <f t="shared" si="5"/>
        <v/>
      </c>
      <c r="BO38" s="192" t="str">
        <f t="shared" si="6"/>
        <v xml:space="preserve"> </v>
      </c>
      <c r="BP38" s="460" t="str">
        <f>FILIACIÓN!Y36</f>
        <v/>
      </c>
      <c r="BQ38" s="460" t="str">
        <f t="shared" si="7"/>
        <v/>
      </c>
      <c r="BR38" s="460" t="str">
        <f t="shared" si="8"/>
        <v/>
      </c>
      <c r="BS38" s="460"/>
      <c r="BT38" s="425" t="str">
        <f>'1ER TRIMESTRE'!BM38</f>
        <v/>
      </c>
      <c r="BU38" s="425" t="str">
        <f>'2DO TRIMESTRE'!BM38</f>
        <v/>
      </c>
      <c r="BV38" s="425" t="str">
        <f t="shared" si="9"/>
        <v/>
      </c>
      <c r="BW38" s="82"/>
      <c r="BX38" s="82"/>
      <c r="BY38" s="82"/>
      <c r="BZ38" s="39"/>
      <c r="CA38" s="531" t="str">
        <f t="shared" si="10"/>
        <v/>
      </c>
      <c r="CB38" s="30" t="str">
        <f>IF(FILIACIÓN!Z36="MOSTRAR","1","")</f>
        <v/>
      </c>
      <c r="CC38" s="39">
        <v>26</v>
      </c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14"/>
      <c r="DQ38" s="14"/>
      <c r="DR38" s="14"/>
      <c r="DS38" s="14"/>
      <c r="DT38" s="14"/>
      <c r="DU38" s="14"/>
      <c r="DV38" s="14"/>
      <c r="DW38" s="14"/>
      <c r="DX38" s="14"/>
      <c r="DY38" s="14"/>
      <c r="DZ38" s="14"/>
      <c r="EA38" s="14"/>
      <c r="EB38" s="14"/>
      <c r="EC38" s="14"/>
      <c r="ED38" s="14"/>
      <c r="EE38" s="14"/>
      <c r="EF38" s="14"/>
      <c r="EG38" s="14"/>
      <c r="EH38" s="14"/>
      <c r="EI38" s="14"/>
      <c r="EJ38" s="14"/>
      <c r="EK38" s="14"/>
      <c r="EL38" s="14"/>
      <c r="EM38" s="14"/>
      <c r="EN38" s="14"/>
      <c r="EO38" s="14"/>
      <c r="EP38" s="14"/>
      <c r="EQ38" s="14"/>
      <c r="ER38" s="14"/>
      <c r="ES38" s="14"/>
      <c r="ET38" s="14"/>
      <c r="EU38" s="14"/>
      <c r="EV38" s="14"/>
      <c r="EW38" s="14"/>
      <c r="EX38" s="14"/>
      <c r="EY38" s="14"/>
      <c r="EZ38" s="14"/>
      <c r="FA38" s="14"/>
      <c r="FB38" s="14"/>
      <c r="FC38" s="14"/>
      <c r="FD38" s="14"/>
      <c r="FE38" s="14"/>
      <c r="FF38" s="14"/>
      <c r="FG38" s="14"/>
      <c r="FH38" s="14"/>
      <c r="FI38" s="14"/>
      <c r="FJ38" s="14"/>
      <c r="FK38" s="14"/>
      <c r="FL38" s="14"/>
      <c r="FM38" s="14"/>
      <c r="FN38" s="14"/>
      <c r="FO38" s="14"/>
      <c r="FP38" s="14"/>
      <c r="FQ38" s="14"/>
      <c r="FR38" s="14"/>
      <c r="FS38" s="14"/>
      <c r="FT38" s="14"/>
      <c r="FU38" s="14"/>
      <c r="FV38" s="14"/>
      <c r="FW38" s="14"/>
      <c r="FX38" s="14"/>
      <c r="FY38" s="14"/>
      <c r="FZ38" s="14"/>
      <c r="GA38" s="14"/>
      <c r="GB38" s="14"/>
      <c r="GC38" s="14"/>
      <c r="GD38" s="14"/>
      <c r="GE38" s="14"/>
      <c r="GF38" s="14"/>
      <c r="GG38" s="14"/>
      <c r="GH38" s="14"/>
      <c r="GI38" s="14"/>
      <c r="GJ38" s="14"/>
      <c r="GK38" s="14"/>
      <c r="GL38" s="14"/>
      <c r="GM38" s="14"/>
      <c r="GN38" s="14"/>
      <c r="GO38" s="14"/>
      <c r="GP38" s="14"/>
      <c r="GQ38" s="14"/>
      <c r="GR38" s="14"/>
      <c r="GS38" s="14"/>
      <c r="GT38" s="14"/>
      <c r="GU38" s="14"/>
      <c r="GV38" s="14"/>
      <c r="GW38" s="14"/>
      <c r="GX38" s="14"/>
      <c r="GY38" s="14"/>
      <c r="GZ38" s="14"/>
      <c r="HA38" s="14"/>
      <c r="HB38" s="14"/>
      <c r="HC38" s="14"/>
      <c r="HD38" s="14"/>
      <c r="HE38" s="14"/>
      <c r="HF38" s="14"/>
      <c r="HG38" s="14"/>
      <c r="HH38" s="14"/>
      <c r="HI38" s="14"/>
      <c r="HJ38" s="14"/>
      <c r="HK38" s="14"/>
      <c r="HL38" s="14"/>
      <c r="HM38" s="14"/>
      <c r="HN38" s="14"/>
      <c r="HO38" s="14"/>
      <c r="HP38" s="14"/>
      <c r="HQ38" s="14"/>
      <c r="HR38" s="14"/>
      <c r="HS38" s="14"/>
      <c r="HT38" s="14"/>
      <c r="HU38" s="14"/>
      <c r="HV38" s="14"/>
      <c r="HW38" s="14"/>
      <c r="HX38" s="14"/>
      <c r="HY38" s="14"/>
      <c r="HZ38" s="14"/>
      <c r="IA38" s="14"/>
      <c r="IB38" s="14"/>
      <c r="IC38" s="14"/>
      <c r="ID38" s="14"/>
      <c r="IE38" s="14"/>
      <c r="IF38" s="14"/>
      <c r="IG38" s="14"/>
      <c r="IH38" s="14"/>
      <c r="II38" s="14"/>
      <c r="IJ38" s="14"/>
      <c r="IK38" s="14"/>
      <c r="IL38" s="14"/>
      <c r="IM38" s="14"/>
      <c r="IN38" s="14"/>
      <c r="IO38" s="14"/>
      <c r="IP38" s="14"/>
      <c r="IQ38" s="14"/>
      <c r="IR38" s="14"/>
      <c r="IS38" s="14"/>
      <c r="IT38" s="14"/>
      <c r="IU38" s="14"/>
      <c r="IV38" s="14"/>
      <c r="IW38" s="14"/>
      <c r="IX38" s="14"/>
      <c r="IY38" s="14"/>
      <c r="IZ38" s="14"/>
      <c r="JA38" s="14"/>
      <c r="JB38" s="14"/>
      <c r="JC38" s="14"/>
      <c r="JD38" s="14"/>
      <c r="JE38" s="14"/>
      <c r="JF38" s="14"/>
      <c r="JG38" s="14"/>
      <c r="JH38" s="14"/>
      <c r="JI38" s="14"/>
      <c r="JJ38" s="14"/>
      <c r="JK38" s="14"/>
      <c r="JL38" s="14"/>
      <c r="JM38" s="14"/>
      <c r="JN38" s="14"/>
      <c r="JO38" s="14"/>
      <c r="JP38" s="14"/>
      <c r="JQ38" s="14"/>
      <c r="JR38" s="14"/>
      <c r="JS38" s="14"/>
      <c r="JT38" s="14"/>
      <c r="JU38" s="14"/>
      <c r="JV38" s="14"/>
      <c r="JW38" s="14"/>
      <c r="JX38" s="14"/>
      <c r="JY38" s="14"/>
      <c r="JZ38" s="14"/>
      <c r="KA38" s="14"/>
      <c r="KB38" s="14"/>
      <c r="KC38" s="14"/>
      <c r="KD38" s="14"/>
      <c r="KE38" s="14"/>
      <c r="KF38" s="14"/>
      <c r="KG38" s="14"/>
      <c r="KH38" s="14"/>
    </row>
    <row r="39" spans="1:294" s="31" customFormat="1" ht="27" customHeight="1">
      <c r="A39" s="92">
        <f>--SUBTOTAL(2,CC$12:CC39)</f>
        <v>27</v>
      </c>
      <c r="B39" s="733" t="str">
        <f>IF(FILIACIÓN!B37="","",UPPER(FILIACIÓN!B37))</f>
        <v/>
      </c>
      <c r="C39" s="734"/>
      <c r="D39" s="735"/>
      <c r="E39" s="465" t="str">
        <f>'ASISTENCIA 3'!CD40</f>
        <v/>
      </c>
      <c r="F39" s="544"/>
      <c r="G39" s="544"/>
      <c r="H39" s="544"/>
      <c r="I39" s="544"/>
      <c r="J39" s="544"/>
      <c r="K39" s="544"/>
      <c r="L39" s="544"/>
      <c r="M39" s="89"/>
      <c r="N39" s="89"/>
      <c r="O39" s="344" t="str">
        <f t="shared" si="0"/>
        <v/>
      </c>
      <c r="P39" s="59"/>
      <c r="Q39" s="120"/>
      <c r="R39" s="502"/>
      <c r="S39" s="502"/>
      <c r="T39" s="502"/>
      <c r="U39" s="502"/>
      <c r="V39" s="502"/>
      <c r="W39" s="502"/>
      <c r="X39" s="502"/>
      <c r="Y39" s="502"/>
      <c r="Z39" s="502"/>
      <c r="AA39" s="121"/>
      <c r="AB39" s="89"/>
      <c r="AC39" s="89"/>
      <c r="AD39" s="89"/>
      <c r="AE39" s="89"/>
      <c r="AF39" s="344" t="str">
        <f t="shared" si="1"/>
        <v/>
      </c>
      <c r="AG39" s="59"/>
      <c r="AH39" s="120"/>
      <c r="AI39" s="502"/>
      <c r="AJ39" s="502"/>
      <c r="AK39" s="502"/>
      <c r="AL39" s="502"/>
      <c r="AM39" s="502"/>
      <c r="AN39" s="502"/>
      <c r="AO39" s="502"/>
      <c r="AP39" s="502"/>
      <c r="AQ39" s="502"/>
      <c r="AR39" s="121"/>
      <c r="AS39" s="121"/>
      <c r="AT39" s="121"/>
      <c r="AU39" s="121"/>
      <c r="AV39" s="89"/>
      <c r="AW39" s="344" t="str">
        <f t="shared" si="2"/>
        <v/>
      </c>
      <c r="AX39" s="59"/>
      <c r="AY39" s="120"/>
      <c r="AZ39" s="502"/>
      <c r="BA39" s="502"/>
      <c r="BB39" s="502"/>
      <c r="BC39" s="502"/>
      <c r="BD39" s="502"/>
      <c r="BE39" s="502"/>
      <c r="BF39" s="502"/>
      <c r="BG39" s="89"/>
      <c r="BH39" s="89"/>
      <c r="BI39" s="344" t="str">
        <f t="shared" si="3"/>
        <v/>
      </c>
      <c r="BJ39" s="338"/>
      <c r="BK39" s="432"/>
      <c r="BL39" s="340"/>
      <c r="BM39" s="196" t="str">
        <f t="shared" si="4"/>
        <v/>
      </c>
      <c r="BN39" s="462" t="str">
        <f t="shared" si="5"/>
        <v/>
      </c>
      <c r="BO39" s="192" t="str">
        <f t="shared" si="6"/>
        <v xml:space="preserve"> </v>
      </c>
      <c r="BP39" s="460" t="str">
        <f>FILIACIÓN!Y37</f>
        <v/>
      </c>
      <c r="BQ39" s="460" t="str">
        <f t="shared" si="7"/>
        <v/>
      </c>
      <c r="BR39" s="460" t="str">
        <f t="shared" si="8"/>
        <v/>
      </c>
      <c r="BS39" s="460"/>
      <c r="BT39" s="425" t="str">
        <f>'1ER TRIMESTRE'!BM39</f>
        <v/>
      </c>
      <c r="BU39" s="425" t="str">
        <f>'2DO TRIMESTRE'!BM39</f>
        <v/>
      </c>
      <c r="BV39" s="425" t="str">
        <f t="shared" si="9"/>
        <v/>
      </c>
      <c r="BW39" s="82"/>
      <c r="BX39" s="82"/>
      <c r="BY39" s="82"/>
      <c r="BZ39" s="39"/>
      <c r="CA39" s="531" t="str">
        <f t="shared" si="10"/>
        <v/>
      </c>
      <c r="CB39" s="30" t="str">
        <f>IF(FILIACIÓN!Z37="MOSTRAR","1","")</f>
        <v/>
      </c>
      <c r="CC39" s="39">
        <v>27</v>
      </c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14"/>
      <c r="DQ39" s="14"/>
      <c r="DR39" s="14"/>
      <c r="DS39" s="14"/>
      <c r="DT39" s="14"/>
      <c r="DU39" s="14"/>
      <c r="DV39" s="14"/>
      <c r="DW39" s="14"/>
      <c r="DX39" s="14"/>
      <c r="DY39" s="14"/>
      <c r="DZ39" s="14"/>
      <c r="EA39" s="14"/>
      <c r="EB39" s="14"/>
      <c r="EC39" s="14"/>
      <c r="ED39" s="14"/>
      <c r="EE39" s="14"/>
      <c r="EF39" s="14"/>
      <c r="EG39" s="14"/>
      <c r="EH39" s="14"/>
      <c r="EI39" s="14"/>
      <c r="EJ39" s="14"/>
      <c r="EK39" s="14"/>
      <c r="EL39" s="14"/>
      <c r="EM39" s="14"/>
      <c r="EN39" s="14"/>
      <c r="EO39" s="14"/>
      <c r="EP39" s="14"/>
      <c r="EQ39" s="14"/>
      <c r="ER39" s="14"/>
      <c r="ES39" s="14"/>
      <c r="ET39" s="14"/>
      <c r="EU39" s="14"/>
      <c r="EV39" s="14"/>
      <c r="EW39" s="14"/>
      <c r="EX39" s="14"/>
      <c r="EY39" s="14"/>
      <c r="EZ39" s="14"/>
      <c r="FA39" s="14"/>
      <c r="FB39" s="14"/>
      <c r="FC39" s="14"/>
      <c r="FD39" s="14"/>
      <c r="FE39" s="14"/>
      <c r="FF39" s="14"/>
      <c r="FG39" s="14"/>
      <c r="FH39" s="14"/>
      <c r="FI39" s="14"/>
      <c r="FJ39" s="14"/>
      <c r="FK39" s="14"/>
      <c r="FL39" s="14"/>
      <c r="FM39" s="14"/>
      <c r="FN39" s="14"/>
      <c r="FO39" s="14"/>
      <c r="FP39" s="14"/>
      <c r="FQ39" s="14"/>
      <c r="FR39" s="14"/>
      <c r="FS39" s="14"/>
      <c r="FT39" s="14"/>
      <c r="FU39" s="14"/>
      <c r="FV39" s="14"/>
      <c r="FW39" s="14"/>
      <c r="FX39" s="14"/>
      <c r="FY39" s="14"/>
      <c r="FZ39" s="14"/>
      <c r="GA39" s="14"/>
      <c r="GB39" s="14"/>
      <c r="GC39" s="14"/>
      <c r="GD39" s="14"/>
      <c r="GE39" s="14"/>
      <c r="GF39" s="14"/>
      <c r="GG39" s="14"/>
      <c r="GH39" s="14"/>
      <c r="GI39" s="14"/>
      <c r="GJ39" s="14"/>
      <c r="GK39" s="14"/>
      <c r="GL39" s="14"/>
      <c r="GM39" s="14"/>
      <c r="GN39" s="14"/>
      <c r="GO39" s="14"/>
      <c r="GP39" s="14"/>
      <c r="GQ39" s="14"/>
      <c r="GR39" s="14"/>
      <c r="GS39" s="14"/>
      <c r="GT39" s="14"/>
      <c r="GU39" s="14"/>
      <c r="GV39" s="14"/>
      <c r="GW39" s="14"/>
      <c r="GX39" s="14"/>
      <c r="GY39" s="14"/>
      <c r="GZ39" s="14"/>
      <c r="HA39" s="14"/>
      <c r="HB39" s="14"/>
      <c r="HC39" s="14"/>
      <c r="HD39" s="14"/>
      <c r="HE39" s="14"/>
      <c r="HF39" s="14"/>
      <c r="HG39" s="14"/>
      <c r="HH39" s="14"/>
      <c r="HI39" s="14"/>
      <c r="HJ39" s="14"/>
      <c r="HK39" s="14"/>
      <c r="HL39" s="14"/>
      <c r="HM39" s="14"/>
      <c r="HN39" s="14"/>
      <c r="HO39" s="14"/>
      <c r="HP39" s="14"/>
      <c r="HQ39" s="14"/>
      <c r="HR39" s="14"/>
      <c r="HS39" s="14"/>
      <c r="HT39" s="14"/>
      <c r="HU39" s="14"/>
      <c r="HV39" s="14"/>
      <c r="HW39" s="14"/>
      <c r="HX39" s="14"/>
      <c r="HY39" s="14"/>
      <c r="HZ39" s="14"/>
      <c r="IA39" s="14"/>
      <c r="IB39" s="14"/>
      <c r="IC39" s="14"/>
      <c r="ID39" s="14"/>
      <c r="IE39" s="14"/>
      <c r="IF39" s="14"/>
      <c r="IG39" s="14"/>
      <c r="IH39" s="14"/>
      <c r="II39" s="14"/>
      <c r="IJ39" s="14"/>
      <c r="IK39" s="14"/>
      <c r="IL39" s="14"/>
      <c r="IM39" s="14"/>
      <c r="IN39" s="14"/>
      <c r="IO39" s="14"/>
      <c r="IP39" s="14"/>
      <c r="IQ39" s="14"/>
      <c r="IR39" s="14"/>
      <c r="IS39" s="14"/>
      <c r="IT39" s="14"/>
      <c r="IU39" s="14"/>
      <c r="IV39" s="14"/>
      <c r="IW39" s="14"/>
      <c r="IX39" s="14"/>
      <c r="IY39" s="14"/>
      <c r="IZ39" s="14"/>
      <c r="JA39" s="14"/>
      <c r="JB39" s="14"/>
      <c r="JC39" s="14"/>
      <c r="JD39" s="14"/>
      <c r="JE39" s="14"/>
      <c r="JF39" s="14"/>
      <c r="JG39" s="14"/>
      <c r="JH39" s="14"/>
      <c r="JI39" s="14"/>
      <c r="JJ39" s="14"/>
      <c r="JK39" s="14"/>
      <c r="JL39" s="14"/>
      <c r="JM39" s="14"/>
      <c r="JN39" s="14"/>
      <c r="JO39" s="14"/>
      <c r="JP39" s="14"/>
      <c r="JQ39" s="14"/>
      <c r="JR39" s="14"/>
      <c r="JS39" s="14"/>
      <c r="JT39" s="14"/>
      <c r="JU39" s="14"/>
      <c r="JV39" s="14"/>
      <c r="JW39" s="14"/>
      <c r="JX39" s="14"/>
      <c r="JY39" s="14"/>
      <c r="JZ39" s="14"/>
      <c r="KA39" s="14"/>
      <c r="KB39" s="14"/>
      <c r="KC39" s="14"/>
      <c r="KD39" s="14"/>
      <c r="KE39" s="14"/>
      <c r="KF39" s="14"/>
      <c r="KG39" s="14"/>
      <c r="KH39" s="14"/>
    </row>
    <row r="40" spans="1:294" s="31" customFormat="1" ht="27" customHeight="1">
      <c r="A40" s="92">
        <f>--SUBTOTAL(2,CC$12:CC40)</f>
        <v>28</v>
      </c>
      <c r="B40" s="733" t="str">
        <f>IF(FILIACIÓN!B38="","",UPPER(FILIACIÓN!B38))</f>
        <v/>
      </c>
      <c r="C40" s="734"/>
      <c r="D40" s="735"/>
      <c r="E40" s="465" t="str">
        <f>'ASISTENCIA 3'!CD41</f>
        <v/>
      </c>
      <c r="F40" s="544"/>
      <c r="G40" s="544"/>
      <c r="H40" s="544"/>
      <c r="I40" s="544"/>
      <c r="J40" s="544"/>
      <c r="K40" s="544"/>
      <c r="L40" s="544"/>
      <c r="M40" s="89"/>
      <c r="N40" s="89"/>
      <c r="O40" s="344" t="str">
        <f t="shared" si="0"/>
        <v/>
      </c>
      <c r="P40" s="59"/>
      <c r="Q40" s="120"/>
      <c r="R40" s="502"/>
      <c r="S40" s="502"/>
      <c r="T40" s="502"/>
      <c r="U40" s="502"/>
      <c r="V40" s="502"/>
      <c r="W40" s="502"/>
      <c r="X40" s="502"/>
      <c r="Y40" s="502"/>
      <c r="Z40" s="502"/>
      <c r="AA40" s="121"/>
      <c r="AB40" s="89"/>
      <c r="AC40" s="89"/>
      <c r="AD40" s="89"/>
      <c r="AE40" s="89"/>
      <c r="AF40" s="344" t="str">
        <f t="shared" si="1"/>
        <v/>
      </c>
      <c r="AG40" s="59"/>
      <c r="AH40" s="120"/>
      <c r="AI40" s="502"/>
      <c r="AJ40" s="502"/>
      <c r="AK40" s="502"/>
      <c r="AL40" s="502"/>
      <c r="AM40" s="502"/>
      <c r="AN40" s="502"/>
      <c r="AO40" s="502"/>
      <c r="AP40" s="502"/>
      <c r="AQ40" s="502"/>
      <c r="AR40" s="121"/>
      <c r="AS40" s="121"/>
      <c r="AT40" s="121"/>
      <c r="AU40" s="121"/>
      <c r="AV40" s="89"/>
      <c r="AW40" s="344" t="str">
        <f t="shared" si="2"/>
        <v/>
      </c>
      <c r="AX40" s="59"/>
      <c r="AY40" s="120"/>
      <c r="AZ40" s="502"/>
      <c r="BA40" s="502"/>
      <c r="BB40" s="502"/>
      <c r="BC40" s="502"/>
      <c r="BD40" s="502"/>
      <c r="BE40" s="502"/>
      <c r="BF40" s="502"/>
      <c r="BG40" s="89"/>
      <c r="BH40" s="89"/>
      <c r="BI40" s="344" t="str">
        <f t="shared" si="3"/>
        <v/>
      </c>
      <c r="BJ40" s="338"/>
      <c r="BK40" s="432"/>
      <c r="BL40" s="340"/>
      <c r="BM40" s="196" t="str">
        <f t="shared" si="4"/>
        <v/>
      </c>
      <c r="BN40" s="462" t="str">
        <f t="shared" si="5"/>
        <v/>
      </c>
      <c r="BO40" s="192" t="str">
        <f t="shared" si="6"/>
        <v xml:space="preserve"> </v>
      </c>
      <c r="BP40" s="460" t="str">
        <f>FILIACIÓN!Y38</f>
        <v/>
      </c>
      <c r="BQ40" s="460" t="str">
        <f t="shared" si="7"/>
        <v/>
      </c>
      <c r="BR40" s="460" t="str">
        <f t="shared" si="8"/>
        <v/>
      </c>
      <c r="BS40" s="460"/>
      <c r="BT40" s="425" t="str">
        <f>'1ER TRIMESTRE'!BM40</f>
        <v/>
      </c>
      <c r="BU40" s="425" t="str">
        <f>'2DO TRIMESTRE'!BM40</f>
        <v/>
      </c>
      <c r="BV40" s="425" t="str">
        <f t="shared" si="9"/>
        <v/>
      </c>
      <c r="BW40" s="82"/>
      <c r="BX40" s="82"/>
      <c r="BY40" s="82"/>
      <c r="BZ40" s="39"/>
      <c r="CA40" s="531" t="str">
        <f t="shared" si="10"/>
        <v/>
      </c>
      <c r="CB40" s="30" t="str">
        <f>IF(FILIACIÓN!Z38="MOSTRAR","1","")</f>
        <v/>
      </c>
      <c r="CC40" s="39">
        <v>28</v>
      </c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14"/>
      <c r="DQ40" s="14"/>
      <c r="DR40" s="14"/>
      <c r="DS40" s="14"/>
      <c r="DT40" s="14"/>
      <c r="DU40" s="14"/>
      <c r="DV40" s="14"/>
      <c r="DW40" s="14"/>
      <c r="DX40" s="14"/>
      <c r="DY40" s="14"/>
      <c r="DZ40" s="14"/>
      <c r="EA40" s="14"/>
      <c r="EB40" s="14"/>
      <c r="EC40" s="14"/>
      <c r="ED40" s="14"/>
      <c r="EE40" s="14"/>
      <c r="EF40" s="14"/>
      <c r="EG40" s="14"/>
      <c r="EH40" s="14"/>
      <c r="EI40" s="14"/>
      <c r="EJ40" s="14"/>
      <c r="EK40" s="14"/>
      <c r="EL40" s="14"/>
      <c r="EM40" s="14"/>
      <c r="EN40" s="14"/>
      <c r="EO40" s="14"/>
      <c r="EP40" s="14"/>
      <c r="EQ40" s="14"/>
      <c r="ER40" s="14"/>
      <c r="ES40" s="14"/>
      <c r="ET40" s="14"/>
      <c r="EU40" s="14"/>
      <c r="EV40" s="14"/>
      <c r="EW40" s="14"/>
      <c r="EX40" s="14"/>
      <c r="EY40" s="14"/>
      <c r="EZ40" s="14"/>
      <c r="FA40" s="14"/>
      <c r="FB40" s="14"/>
      <c r="FC40" s="14"/>
      <c r="FD40" s="14"/>
      <c r="FE40" s="14"/>
      <c r="FF40" s="14"/>
      <c r="FG40" s="14"/>
      <c r="FH40" s="14"/>
      <c r="FI40" s="14"/>
      <c r="FJ40" s="14"/>
      <c r="FK40" s="14"/>
      <c r="FL40" s="14"/>
      <c r="FM40" s="14"/>
      <c r="FN40" s="14"/>
      <c r="FO40" s="14"/>
      <c r="FP40" s="14"/>
      <c r="FQ40" s="14"/>
      <c r="FR40" s="14"/>
      <c r="FS40" s="14"/>
      <c r="FT40" s="14"/>
      <c r="FU40" s="14"/>
      <c r="FV40" s="14"/>
      <c r="FW40" s="14"/>
      <c r="FX40" s="14"/>
      <c r="FY40" s="14"/>
      <c r="FZ40" s="14"/>
      <c r="GA40" s="14"/>
      <c r="GB40" s="14"/>
      <c r="GC40" s="14"/>
      <c r="GD40" s="14"/>
      <c r="GE40" s="14"/>
      <c r="GF40" s="14"/>
      <c r="GG40" s="14"/>
      <c r="GH40" s="14"/>
      <c r="GI40" s="14"/>
      <c r="GJ40" s="14"/>
      <c r="GK40" s="14"/>
      <c r="GL40" s="14"/>
      <c r="GM40" s="14"/>
      <c r="GN40" s="14"/>
      <c r="GO40" s="14"/>
      <c r="GP40" s="14"/>
      <c r="GQ40" s="14"/>
      <c r="GR40" s="14"/>
      <c r="GS40" s="14"/>
      <c r="GT40" s="14"/>
      <c r="GU40" s="14"/>
      <c r="GV40" s="14"/>
      <c r="GW40" s="14"/>
      <c r="GX40" s="14"/>
      <c r="GY40" s="14"/>
      <c r="GZ40" s="14"/>
      <c r="HA40" s="14"/>
      <c r="HB40" s="14"/>
      <c r="HC40" s="14"/>
      <c r="HD40" s="14"/>
      <c r="HE40" s="14"/>
      <c r="HF40" s="14"/>
      <c r="HG40" s="14"/>
      <c r="HH40" s="14"/>
      <c r="HI40" s="14"/>
      <c r="HJ40" s="14"/>
      <c r="HK40" s="14"/>
      <c r="HL40" s="14"/>
      <c r="HM40" s="14"/>
      <c r="HN40" s="14"/>
      <c r="HO40" s="14"/>
      <c r="HP40" s="14"/>
      <c r="HQ40" s="14"/>
      <c r="HR40" s="14"/>
      <c r="HS40" s="14"/>
      <c r="HT40" s="14"/>
      <c r="HU40" s="14"/>
      <c r="HV40" s="14"/>
      <c r="HW40" s="14"/>
      <c r="HX40" s="14"/>
      <c r="HY40" s="14"/>
      <c r="HZ40" s="14"/>
      <c r="IA40" s="14"/>
      <c r="IB40" s="14"/>
      <c r="IC40" s="14"/>
      <c r="ID40" s="14"/>
      <c r="IE40" s="14"/>
      <c r="IF40" s="14"/>
      <c r="IG40" s="14"/>
      <c r="IH40" s="14"/>
      <c r="II40" s="14"/>
      <c r="IJ40" s="14"/>
      <c r="IK40" s="14"/>
      <c r="IL40" s="14"/>
      <c r="IM40" s="14"/>
      <c r="IN40" s="14"/>
      <c r="IO40" s="14"/>
      <c r="IP40" s="14"/>
      <c r="IQ40" s="14"/>
      <c r="IR40" s="14"/>
      <c r="IS40" s="14"/>
      <c r="IT40" s="14"/>
      <c r="IU40" s="14"/>
      <c r="IV40" s="14"/>
      <c r="IW40" s="14"/>
      <c r="IX40" s="14"/>
      <c r="IY40" s="14"/>
      <c r="IZ40" s="14"/>
      <c r="JA40" s="14"/>
      <c r="JB40" s="14"/>
      <c r="JC40" s="14"/>
      <c r="JD40" s="14"/>
      <c r="JE40" s="14"/>
      <c r="JF40" s="14"/>
      <c r="JG40" s="14"/>
      <c r="JH40" s="14"/>
      <c r="JI40" s="14"/>
      <c r="JJ40" s="14"/>
      <c r="JK40" s="14"/>
      <c r="JL40" s="14"/>
      <c r="JM40" s="14"/>
      <c r="JN40" s="14"/>
      <c r="JO40" s="14"/>
      <c r="JP40" s="14"/>
      <c r="JQ40" s="14"/>
      <c r="JR40" s="14"/>
      <c r="JS40" s="14"/>
      <c r="JT40" s="14"/>
      <c r="JU40" s="14"/>
      <c r="JV40" s="14"/>
      <c r="JW40" s="14"/>
      <c r="JX40" s="14"/>
      <c r="JY40" s="14"/>
      <c r="JZ40" s="14"/>
      <c r="KA40" s="14"/>
      <c r="KB40" s="14"/>
      <c r="KC40" s="14"/>
      <c r="KD40" s="14"/>
      <c r="KE40" s="14"/>
      <c r="KF40" s="14"/>
      <c r="KG40" s="14"/>
      <c r="KH40" s="14"/>
    </row>
    <row r="41" spans="1:294" s="31" customFormat="1" ht="27" customHeight="1">
      <c r="A41" s="92">
        <f>--SUBTOTAL(2,CC$12:CC41)</f>
        <v>29</v>
      </c>
      <c r="B41" s="733" t="str">
        <f>IF(FILIACIÓN!B39="","",UPPER(FILIACIÓN!B39))</f>
        <v/>
      </c>
      <c r="C41" s="734"/>
      <c r="D41" s="735"/>
      <c r="E41" s="465" t="str">
        <f>'ASISTENCIA 3'!CD42</f>
        <v/>
      </c>
      <c r="F41" s="544"/>
      <c r="G41" s="544"/>
      <c r="H41" s="544"/>
      <c r="I41" s="544"/>
      <c r="J41" s="544"/>
      <c r="K41" s="544"/>
      <c r="L41" s="544"/>
      <c r="M41" s="89"/>
      <c r="N41" s="89"/>
      <c r="O41" s="344" t="str">
        <f t="shared" si="0"/>
        <v/>
      </c>
      <c r="P41" s="59"/>
      <c r="Q41" s="120"/>
      <c r="R41" s="502"/>
      <c r="S41" s="502"/>
      <c r="T41" s="502"/>
      <c r="U41" s="502"/>
      <c r="V41" s="502"/>
      <c r="W41" s="502"/>
      <c r="X41" s="502"/>
      <c r="Y41" s="502"/>
      <c r="Z41" s="502"/>
      <c r="AA41" s="121"/>
      <c r="AB41" s="89"/>
      <c r="AC41" s="89"/>
      <c r="AD41" s="89"/>
      <c r="AE41" s="89"/>
      <c r="AF41" s="344" t="str">
        <f t="shared" si="1"/>
        <v/>
      </c>
      <c r="AG41" s="59"/>
      <c r="AH41" s="120"/>
      <c r="AI41" s="502"/>
      <c r="AJ41" s="502"/>
      <c r="AK41" s="502"/>
      <c r="AL41" s="502"/>
      <c r="AM41" s="502"/>
      <c r="AN41" s="502"/>
      <c r="AO41" s="502"/>
      <c r="AP41" s="502"/>
      <c r="AQ41" s="502"/>
      <c r="AR41" s="121"/>
      <c r="AS41" s="121"/>
      <c r="AT41" s="121"/>
      <c r="AU41" s="121"/>
      <c r="AV41" s="89"/>
      <c r="AW41" s="344" t="str">
        <f t="shared" si="2"/>
        <v/>
      </c>
      <c r="AX41" s="59"/>
      <c r="AY41" s="120"/>
      <c r="AZ41" s="502"/>
      <c r="BA41" s="502"/>
      <c r="BB41" s="502"/>
      <c r="BC41" s="502"/>
      <c r="BD41" s="502"/>
      <c r="BE41" s="502"/>
      <c r="BF41" s="502"/>
      <c r="BG41" s="89"/>
      <c r="BH41" s="89"/>
      <c r="BI41" s="344" t="str">
        <f t="shared" si="3"/>
        <v/>
      </c>
      <c r="BJ41" s="338"/>
      <c r="BK41" s="432"/>
      <c r="BL41" s="340"/>
      <c r="BM41" s="196" t="str">
        <f t="shared" si="4"/>
        <v/>
      </c>
      <c r="BN41" s="462" t="str">
        <f t="shared" si="5"/>
        <v/>
      </c>
      <c r="BO41" s="192" t="str">
        <f t="shared" si="6"/>
        <v xml:space="preserve"> </v>
      </c>
      <c r="BP41" s="460" t="str">
        <f>FILIACIÓN!Y39</f>
        <v/>
      </c>
      <c r="BQ41" s="460" t="str">
        <f t="shared" si="7"/>
        <v/>
      </c>
      <c r="BR41" s="460" t="str">
        <f t="shared" si="8"/>
        <v/>
      </c>
      <c r="BS41" s="460"/>
      <c r="BT41" s="425" t="str">
        <f>'1ER TRIMESTRE'!BM41</f>
        <v/>
      </c>
      <c r="BU41" s="425" t="str">
        <f>'2DO TRIMESTRE'!BM41</f>
        <v/>
      </c>
      <c r="BV41" s="425" t="str">
        <f t="shared" si="9"/>
        <v/>
      </c>
      <c r="BW41" s="82"/>
      <c r="BX41" s="82"/>
      <c r="BY41" s="82"/>
      <c r="BZ41" s="39"/>
      <c r="CA41" s="531" t="str">
        <f t="shared" si="10"/>
        <v/>
      </c>
      <c r="CB41" s="30" t="str">
        <f>IF(FILIACIÓN!Z39="MOSTRAR","1","")</f>
        <v/>
      </c>
      <c r="CC41" s="39">
        <v>29</v>
      </c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14"/>
      <c r="DQ41" s="14"/>
      <c r="DR41" s="14"/>
      <c r="DS41" s="14"/>
      <c r="DT41" s="14"/>
      <c r="DU41" s="14"/>
      <c r="DV41" s="14"/>
      <c r="DW41" s="14"/>
      <c r="DX41" s="14"/>
      <c r="DY41" s="14"/>
      <c r="DZ41" s="14"/>
      <c r="EA41" s="14"/>
      <c r="EB41" s="14"/>
      <c r="EC41" s="14"/>
      <c r="ED41" s="14"/>
      <c r="EE41" s="14"/>
      <c r="EF41" s="14"/>
      <c r="EG41" s="14"/>
      <c r="EH41" s="14"/>
      <c r="EI41" s="14"/>
      <c r="EJ41" s="14"/>
      <c r="EK41" s="14"/>
      <c r="EL41" s="14"/>
      <c r="EM41" s="14"/>
      <c r="EN41" s="14"/>
      <c r="EO41" s="14"/>
      <c r="EP41" s="14"/>
      <c r="EQ41" s="14"/>
      <c r="ER41" s="14"/>
      <c r="ES41" s="14"/>
      <c r="ET41" s="14"/>
      <c r="EU41" s="14"/>
      <c r="EV41" s="14"/>
      <c r="EW41" s="14"/>
      <c r="EX41" s="14"/>
      <c r="EY41" s="14"/>
      <c r="EZ41" s="14"/>
      <c r="FA41" s="14"/>
      <c r="FB41" s="14"/>
      <c r="FC41" s="14"/>
      <c r="FD41" s="14"/>
      <c r="FE41" s="14"/>
      <c r="FF41" s="14"/>
      <c r="FG41" s="14"/>
      <c r="FH41" s="14"/>
      <c r="FI41" s="14"/>
      <c r="FJ41" s="14"/>
      <c r="FK41" s="14"/>
      <c r="FL41" s="14"/>
      <c r="FM41" s="14"/>
      <c r="FN41" s="14"/>
      <c r="FO41" s="14"/>
      <c r="FP41" s="14"/>
      <c r="FQ41" s="14"/>
      <c r="FR41" s="14"/>
      <c r="FS41" s="14"/>
      <c r="FT41" s="14"/>
      <c r="FU41" s="14"/>
      <c r="FV41" s="14"/>
      <c r="FW41" s="14"/>
      <c r="FX41" s="14"/>
      <c r="FY41" s="14"/>
      <c r="FZ41" s="14"/>
      <c r="GA41" s="14"/>
      <c r="GB41" s="14"/>
      <c r="GC41" s="14"/>
      <c r="GD41" s="14"/>
      <c r="GE41" s="14"/>
      <c r="GF41" s="14"/>
      <c r="GG41" s="14"/>
      <c r="GH41" s="14"/>
      <c r="GI41" s="14"/>
      <c r="GJ41" s="14"/>
      <c r="GK41" s="14"/>
      <c r="GL41" s="14"/>
      <c r="GM41" s="14"/>
      <c r="GN41" s="14"/>
      <c r="GO41" s="14"/>
      <c r="GP41" s="14"/>
      <c r="GQ41" s="14"/>
      <c r="GR41" s="14"/>
      <c r="GS41" s="14"/>
      <c r="GT41" s="14"/>
      <c r="GU41" s="14"/>
      <c r="GV41" s="14"/>
      <c r="GW41" s="14"/>
      <c r="GX41" s="14"/>
      <c r="GY41" s="14"/>
      <c r="GZ41" s="14"/>
      <c r="HA41" s="14"/>
      <c r="HB41" s="14"/>
      <c r="HC41" s="14"/>
      <c r="HD41" s="14"/>
      <c r="HE41" s="14"/>
      <c r="HF41" s="14"/>
      <c r="HG41" s="14"/>
      <c r="HH41" s="14"/>
      <c r="HI41" s="14"/>
      <c r="HJ41" s="14"/>
      <c r="HK41" s="14"/>
      <c r="HL41" s="14"/>
      <c r="HM41" s="14"/>
      <c r="HN41" s="14"/>
      <c r="HO41" s="14"/>
      <c r="HP41" s="14"/>
      <c r="HQ41" s="14"/>
      <c r="HR41" s="14"/>
      <c r="HS41" s="14"/>
      <c r="HT41" s="14"/>
      <c r="HU41" s="14"/>
      <c r="HV41" s="14"/>
      <c r="HW41" s="14"/>
      <c r="HX41" s="14"/>
      <c r="HY41" s="14"/>
      <c r="HZ41" s="14"/>
      <c r="IA41" s="14"/>
      <c r="IB41" s="14"/>
      <c r="IC41" s="14"/>
      <c r="ID41" s="14"/>
      <c r="IE41" s="14"/>
      <c r="IF41" s="14"/>
      <c r="IG41" s="14"/>
      <c r="IH41" s="14"/>
      <c r="II41" s="14"/>
      <c r="IJ41" s="14"/>
      <c r="IK41" s="14"/>
      <c r="IL41" s="14"/>
      <c r="IM41" s="14"/>
      <c r="IN41" s="14"/>
      <c r="IO41" s="14"/>
      <c r="IP41" s="14"/>
      <c r="IQ41" s="14"/>
      <c r="IR41" s="14"/>
      <c r="IS41" s="14"/>
      <c r="IT41" s="14"/>
      <c r="IU41" s="14"/>
      <c r="IV41" s="14"/>
      <c r="IW41" s="14"/>
      <c r="IX41" s="14"/>
      <c r="IY41" s="14"/>
      <c r="IZ41" s="14"/>
      <c r="JA41" s="14"/>
      <c r="JB41" s="14"/>
      <c r="JC41" s="14"/>
      <c r="JD41" s="14"/>
      <c r="JE41" s="14"/>
      <c r="JF41" s="14"/>
      <c r="JG41" s="14"/>
      <c r="JH41" s="14"/>
      <c r="JI41" s="14"/>
      <c r="JJ41" s="14"/>
      <c r="JK41" s="14"/>
      <c r="JL41" s="14"/>
      <c r="JM41" s="14"/>
      <c r="JN41" s="14"/>
      <c r="JO41" s="14"/>
      <c r="JP41" s="14"/>
      <c r="JQ41" s="14"/>
      <c r="JR41" s="14"/>
      <c r="JS41" s="14"/>
      <c r="JT41" s="14"/>
      <c r="JU41" s="14"/>
      <c r="JV41" s="14"/>
      <c r="JW41" s="14"/>
      <c r="JX41" s="14"/>
      <c r="JY41" s="14"/>
      <c r="JZ41" s="14"/>
      <c r="KA41" s="14"/>
      <c r="KB41" s="14"/>
      <c r="KC41" s="14"/>
      <c r="KD41" s="14"/>
      <c r="KE41" s="14"/>
      <c r="KF41" s="14"/>
      <c r="KG41" s="14"/>
      <c r="KH41" s="14"/>
    </row>
    <row r="42" spans="1:294" s="31" customFormat="1" ht="27" customHeight="1">
      <c r="A42" s="92">
        <f>--SUBTOTAL(2,CC$12:CC42)</f>
        <v>30</v>
      </c>
      <c r="B42" s="733" t="str">
        <f>IF(FILIACIÓN!B40="","",UPPER(FILIACIÓN!B40))</f>
        <v/>
      </c>
      <c r="C42" s="734"/>
      <c r="D42" s="735"/>
      <c r="E42" s="465" t="str">
        <f>'ASISTENCIA 3'!CD43</f>
        <v/>
      </c>
      <c r="F42" s="544"/>
      <c r="G42" s="544"/>
      <c r="H42" s="544"/>
      <c r="I42" s="544"/>
      <c r="J42" s="544"/>
      <c r="K42" s="544"/>
      <c r="L42" s="544"/>
      <c r="M42" s="89"/>
      <c r="N42" s="89"/>
      <c r="O42" s="344" t="str">
        <f t="shared" si="0"/>
        <v/>
      </c>
      <c r="P42" s="59"/>
      <c r="Q42" s="120"/>
      <c r="R42" s="502"/>
      <c r="S42" s="502"/>
      <c r="T42" s="502"/>
      <c r="U42" s="502"/>
      <c r="V42" s="502"/>
      <c r="W42" s="502"/>
      <c r="X42" s="502"/>
      <c r="Y42" s="502"/>
      <c r="Z42" s="502"/>
      <c r="AA42" s="121"/>
      <c r="AB42" s="89"/>
      <c r="AC42" s="89"/>
      <c r="AD42" s="89"/>
      <c r="AE42" s="89"/>
      <c r="AF42" s="344" t="str">
        <f t="shared" si="1"/>
        <v/>
      </c>
      <c r="AG42" s="59"/>
      <c r="AH42" s="120"/>
      <c r="AI42" s="502"/>
      <c r="AJ42" s="502"/>
      <c r="AK42" s="502"/>
      <c r="AL42" s="502"/>
      <c r="AM42" s="502"/>
      <c r="AN42" s="502"/>
      <c r="AO42" s="502"/>
      <c r="AP42" s="502"/>
      <c r="AQ42" s="502"/>
      <c r="AR42" s="121"/>
      <c r="AS42" s="121"/>
      <c r="AT42" s="121"/>
      <c r="AU42" s="121"/>
      <c r="AV42" s="89"/>
      <c r="AW42" s="344" t="str">
        <f t="shared" si="2"/>
        <v/>
      </c>
      <c r="AX42" s="59"/>
      <c r="AY42" s="120"/>
      <c r="AZ42" s="502"/>
      <c r="BA42" s="502"/>
      <c r="BB42" s="502"/>
      <c r="BC42" s="502"/>
      <c r="BD42" s="502"/>
      <c r="BE42" s="502"/>
      <c r="BF42" s="502"/>
      <c r="BG42" s="89"/>
      <c r="BH42" s="89"/>
      <c r="BI42" s="344" t="str">
        <f t="shared" si="3"/>
        <v/>
      </c>
      <c r="BJ42" s="338"/>
      <c r="BK42" s="432"/>
      <c r="BL42" s="340"/>
      <c r="BM42" s="196" t="str">
        <f t="shared" si="4"/>
        <v/>
      </c>
      <c r="BN42" s="462" t="str">
        <f t="shared" si="5"/>
        <v/>
      </c>
      <c r="BO42" s="192" t="str">
        <f t="shared" si="6"/>
        <v xml:space="preserve"> </v>
      </c>
      <c r="BP42" s="460" t="str">
        <f>FILIACIÓN!Y40</f>
        <v/>
      </c>
      <c r="BQ42" s="460" t="str">
        <f t="shared" si="7"/>
        <v/>
      </c>
      <c r="BR42" s="460" t="str">
        <f t="shared" si="8"/>
        <v/>
      </c>
      <c r="BS42" s="460"/>
      <c r="BT42" s="425" t="str">
        <f>'1ER TRIMESTRE'!BM42</f>
        <v/>
      </c>
      <c r="BU42" s="425" t="str">
        <f>'2DO TRIMESTRE'!BM42</f>
        <v/>
      </c>
      <c r="BV42" s="425" t="str">
        <f t="shared" si="9"/>
        <v/>
      </c>
      <c r="BW42" s="82"/>
      <c r="BX42" s="82"/>
      <c r="BY42" s="82"/>
      <c r="BZ42" s="39"/>
      <c r="CA42" s="531" t="str">
        <f t="shared" si="10"/>
        <v/>
      </c>
      <c r="CB42" s="30" t="str">
        <f>IF(FILIACIÓN!Z40="MOSTRAR","1","")</f>
        <v/>
      </c>
      <c r="CC42" s="39">
        <v>30</v>
      </c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14"/>
      <c r="DQ42" s="14"/>
      <c r="DR42" s="14"/>
      <c r="DS42" s="14"/>
      <c r="DT42" s="14"/>
      <c r="DU42" s="14"/>
      <c r="DV42" s="14"/>
      <c r="DW42" s="14"/>
      <c r="DX42" s="14"/>
      <c r="DY42" s="14"/>
      <c r="DZ42" s="14"/>
      <c r="EA42" s="14"/>
      <c r="EB42" s="14"/>
      <c r="EC42" s="14"/>
      <c r="ED42" s="14"/>
      <c r="EE42" s="14"/>
      <c r="EF42" s="14"/>
      <c r="EG42" s="14"/>
      <c r="EH42" s="14"/>
      <c r="EI42" s="14"/>
      <c r="EJ42" s="14"/>
      <c r="EK42" s="14"/>
      <c r="EL42" s="14"/>
      <c r="EM42" s="14"/>
      <c r="EN42" s="14"/>
      <c r="EO42" s="14"/>
      <c r="EP42" s="14"/>
      <c r="EQ42" s="14"/>
      <c r="ER42" s="14"/>
      <c r="ES42" s="14"/>
      <c r="ET42" s="14"/>
      <c r="EU42" s="14"/>
      <c r="EV42" s="14"/>
      <c r="EW42" s="14"/>
      <c r="EX42" s="14"/>
      <c r="EY42" s="14"/>
      <c r="EZ42" s="14"/>
      <c r="FA42" s="14"/>
      <c r="FB42" s="14"/>
      <c r="FC42" s="14"/>
      <c r="FD42" s="14"/>
      <c r="FE42" s="14"/>
      <c r="FF42" s="14"/>
      <c r="FG42" s="14"/>
      <c r="FH42" s="14"/>
      <c r="FI42" s="14"/>
      <c r="FJ42" s="14"/>
      <c r="FK42" s="14"/>
      <c r="FL42" s="14"/>
      <c r="FM42" s="14"/>
      <c r="FN42" s="14"/>
      <c r="FO42" s="14"/>
      <c r="FP42" s="14"/>
      <c r="FQ42" s="14"/>
      <c r="FR42" s="14"/>
      <c r="FS42" s="14"/>
      <c r="FT42" s="14"/>
      <c r="FU42" s="14"/>
      <c r="FV42" s="14"/>
      <c r="FW42" s="14"/>
      <c r="FX42" s="14"/>
      <c r="FY42" s="14"/>
      <c r="FZ42" s="14"/>
      <c r="GA42" s="14"/>
      <c r="GB42" s="14"/>
      <c r="GC42" s="14"/>
      <c r="GD42" s="14"/>
      <c r="GE42" s="14"/>
      <c r="GF42" s="14"/>
      <c r="GG42" s="14"/>
      <c r="GH42" s="14"/>
      <c r="GI42" s="14"/>
      <c r="GJ42" s="14"/>
      <c r="GK42" s="14"/>
      <c r="GL42" s="14"/>
      <c r="GM42" s="14"/>
      <c r="GN42" s="14"/>
      <c r="GO42" s="14"/>
      <c r="GP42" s="14"/>
      <c r="GQ42" s="14"/>
      <c r="GR42" s="14"/>
      <c r="GS42" s="14"/>
      <c r="GT42" s="14"/>
      <c r="GU42" s="14"/>
      <c r="GV42" s="14"/>
      <c r="GW42" s="14"/>
      <c r="GX42" s="14"/>
      <c r="GY42" s="14"/>
      <c r="GZ42" s="14"/>
      <c r="HA42" s="14"/>
      <c r="HB42" s="14"/>
      <c r="HC42" s="14"/>
      <c r="HD42" s="14"/>
      <c r="HE42" s="14"/>
      <c r="HF42" s="14"/>
      <c r="HG42" s="14"/>
      <c r="HH42" s="14"/>
      <c r="HI42" s="14"/>
      <c r="HJ42" s="14"/>
      <c r="HK42" s="14"/>
      <c r="HL42" s="14"/>
      <c r="HM42" s="14"/>
      <c r="HN42" s="14"/>
      <c r="HO42" s="14"/>
      <c r="HP42" s="14"/>
      <c r="HQ42" s="14"/>
      <c r="HR42" s="14"/>
      <c r="HS42" s="14"/>
      <c r="HT42" s="14"/>
      <c r="HU42" s="14"/>
      <c r="HV42" s="14"/>
      <c r="HW42" s="14"/>
      <c r="HX42" s="14"/>
      <c r="HY42" s="14"/>
      <c r="HZ42" s="14"/>
      <c r="IA42" s="14"/>
      <c r="IB42" s="14"/>
      <c r="IC42" s="14"/>
      <c r="ID42" s="14"/>
      <c r="IE42" s="14"/>
      <c r="IF42" s="14"/>
      <c r="IG42" s="14"/>
      <c r="IH42" s="14"/>
      <c r="II42" s="14"/>
      <c r="IJ42" s="14"/>
      <c r="IK42" s="14"/>
      <c r="IL42" s="14"/>
      <c r="IM42" s="14"/>
      <c r="IN42" s="14"/>
      <c r="IO42" s="14"/>
      <c r="IP42" s="14"/>
      <c r="IQ42" s="14"/>
      <c r="IR42" s="14"/>
      <c r="IS42" s="14"/>
      <c r="IT42" s="14"/>
      <c r="IU42" s="14"/>
      <c r="IV42" s="14"/>
      <c r="IW42" s="14"/>
      <c r="IX42" s="14"/>
      <c r="IY42" s="14"/>
      <c r="IZ42" s="14"/>
      <c r="JA42" s="14"/>
      <c r="JB42" s="14"/>
      <c r="JC42" s="14"/>
      <c r="JD42" s="14"/>
      <c r="JE42" s="14"/>
      <c r="JF42" s="14"/>
      <c r="JG42" s="14"/>
      <c r="JH42" s="14"/>
      <c r="JI42" s="14"/>
      <c r="JJ42" s="14"/>
      <c r="JK42" s="14"/>
      <c r="JL42" s="14"/>
      <c r="JM42" s="14"/>
      <c r="JN42" s="14"/>
      <c r="JO42" s="14"/>
      <c r="JP42" s="14"/>
      <c r="JQ42" s="14"/>
      <c r="JR42" s="14"/>
      <c r="JS42" s="14"/>
      <c r="JT42" s="14"/>
      <c r="JU42" s="14"/>
      <c r="JV42" s="14"/>
      <c r="JW42" s="14"/>
      <c r="JX42" s="14"/>
      <c r="JY42" s="14"/>
      <c r="JZ42" s="14"/>
      <c r="KA42" s="14"/>
      <c r="KB42" s="14"/>
      <c r="KC42" s="14"/>
      <c r="KD42" s="14"/>
      <c r="KE42" s="14"/>
      <c r="KF42" s="14"/>
      <c r="KG42" s="14"/>
      <c r="KH42" s="14"/>
    </row>
    <row r="43" spans="1:294" s="31" customFormat="1" ht="27" hidden="1" customHeight="1">
      <c r="A43" s="92">
        <f>--SUBTOTAL(2,CC$12:CC43)</f>
        <v>31</v>
      </c>
      <c r="B43" s="733" t="str">
        <f>IF(FILIACIÓN!B41="","",UPPER(FILIACIÓN!B41))</f>
        <v/>
      </c>
      <c r="C43" s="734"/>
      <c r="D43" s="735"/>
      <c r="E43" s="465" t="str">
        <f>'ASISTENCIA 3'!CD44</f>
        <v/>
      </c>
      <c r="F43" s="544"/>
      <c r="G43" s="544"/>
      <c r="H43" s="544"/>
      <c r="I43" s="544"/>
      <c r="J43" s="544"/>
      <c r="K43" s="544"/>
      <c r="L43" s="544"/>
      <c r="M43" s="89"/>
      <c r="N43" s="89"/>
      <c r="O43" s="344" t="str">
        <f t="shared" si="0"/>
        <v/>
      </c>
      <c r="P43" s="59"/>
      <c r="Q43" s="120"/>
      <c r="R43" s="502"/>
      <c r="S43" s="502"/>
      <c r="T43" s="502"/>
      <c r="U43" s="502"/>
      <c r="V43" s="502"/>
      <c r="W43" s="502"/>
      <c r="X43" s="502"/>
      <c r="Y43" s="502"/>
      <c r="Z43" s="502"/>
      <c r="AA43" s="121"/>
      <c r="AB43" s="89"/>
      <c r="AC43" s="89"/>
      <c r="AD43" s="89"/>
      <c r="AE43" s="89"/>
      <c r="AF43" s="344" t="str">
        <f t="shared" si="1"/>
        <v/>
      </c>
      <c r="AG43" s="59"/>
      <c r="AH43" s="120"/>
      <c r="AI43" s="502"/>
      <c r="AJ43" s="502"/>
      <c r="AK43" s="502"/>
      <c r="AL43" s="502"/>
      <c r="AM43" s="502"/>
      <c r="AN43" s="502"/>
      <c r="AO43" s="502"/>
      <c r="AP43" s="502"/>
      <c r="AQ43" s="502"/>
      <c r="AR43" s="121"/>
      <c r="AS43" s="121"/>
      <c r="AT43" s="121"/>
      <c r="AU43" s="121"/>
      <c r="AV43" s="89"/>
      <c r="AW43" s="344" t="str">
        <f t="shared" si="2"/>
        <v/>
      </c>
      <c r="AX43" s="59"/>
      <c r="AY43" s="120"/>
      <c r="AZ43" s="502"/>
      <c r="BA43" s="502"/>
      <c r="BB43" s="502"/>
      <c r="BC43" s="502"/>
      <c r="BD43" s="502"/>
      <c r="BE43" s="502"/>
      <c r="BF43" s="502"/>
      <c r="BG43" s="89"/>
      <c r="BH43" s="89"/>
      <c r="BI43" s="344" t="str">
        <f t="shared" si="3"/>
        <v/>
      </c>
      <c r="BJ43" s="338"/>
      <c r="BK43" s="432"/>
      <c r="BL43" s="340"/>
      <c r="BM43" s="196" t="str">
        <f t="shared" si="4"/>
        <v/>
      </c>
      <c r="BN43" s="462" t="str">
        <f t="shared" si="5"/>
        <v/>
      </c>
      <c r="BO43" s="192" t="str">
        <f t="shared" si="6"/>
        <v xml:space="preserve"> </v>
      </c>
      <c r="BP43" s="460" t="str">
        <f>FILIACIÓN!Y41</f>
        <v/>
      </c>
      <c r="BQ43" s="460" t="str">
        <f t="shared" si="7"/>
        <v/>
      </c>
      <c r="BR43" s="460" t="str">
        <f t="shared" si="8"/>
        <v/>
      </c>
      <c r="BS43" s="460"/>
      <c r="BT43" s="425" t="str">
        <f>'1ER TRIMESTRE'!BM43</f>
        <v/>
      </c>
      <c r="BU43" s="425" t="str">
        <f>'2DO TRIMESTRE'!BM43</f>
        <v/>
      </c>
      <c r="BV43" s="425" t="str">
        <f t="shared" si="9"/>
        <v/>
      </c>
      <c r="BW43" s="82"/>
      <c r="BX43" s="82"/>
      <c r="BY43" s="82"/>
      <c r="BZ43" s="39"/>
      <c r="CA43" s="531" t="str">
        <f t="shared" si="10"/>
        <v/>
      </c>
      <c r="CB43" s="30" t="str">
        <f>IF(FILIACIÓN!Z41="MOSTRAR","1","")</f>
        <v/>
      </c>
      <c r="CC43" s="39">
        <v>31</v>
      </c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14"/>
      <c r="DQ43" s="14"/>
      <c r="DR43" s="14"/>
      <c r="DS43" s="14"/>
      <c r="DT43" s="14"/>
      <c r="DU43" s="14"/>
      <c r="DV43" s="14"/>
      <c r="DW43" s="14"/>
      <c r="DX43" s="14"/>
      <c r="DY43" s="14"/>
      <c r="DZ43" s="14"/>
      <c r="EA43" s="14"/>
      <c r="EB43" s="14"/>
      <c r="EC43" s="14"/>
      <c r="ED43" s="14"/>
      <c r="EE43" s="14"/>
      <c r="EF43" s="14"/>
      <c r="EG43" s="14"/>
      <c r="EH43" s="14"/>
      <c r="EI43" s="14"/>
      <c r="EJ43" s="14"/>
      <c r="EK43" s="14"/>
      <c r="EL43" s="14"/>
      <c r="EM43" s="14"/>
      <c r="EN43" s="14"/>
      <c r="EO43" s="14"/>
      <c r="EP43" s="14"/>
      <c r="EQ43" s="14"/>
      <c r="ER43" s="14"/>
      <c r="ES43" s="14"/>
      <c r="ET43" s="14"/>
      <c r="EU43" s="14"/>
      <c r="EV43" s="14"/>
      <c r="EW43" s="14"/>
      <c r="EX43" s="14"/>
      <c r="EY43" s="14"/>
      <c r="EZ43" s="14"/>
      <c r="FA43" s="14"/>
      <c r="FB43" s="14"/>
      <c r="FC43" s="14"/>
      <c r="FD43" s="14"/>
      <c r="FE43" s="14"/>
      <c r="FF43" s="14"/>
      <c r="FG43" s="14"/>
      <c r="FH43" s="14"/>
      <c r="FI43" s="14"/>
      <c r="FJ43" s="14"/>
      <c r="FK43" s="14"/>
      <c r="FL43" s="14"/>
      <c r="FM43" s="14"/>
      <c r="FN43" s="14"/>
      <c r="FO43" s="14"/>
      <c r="FP43" s="14"/>
      <c r="FQ43" s="14"/>
      <c r="FR43" s="14"/>
      <c r="FS43" s="14"/>
      <c r="FT43" s="14"/>
      <c r="FU43" s="14"/>
      <c r="FV43" s="14"/>
      <c r="FW43" s="14"/>
      <c r="FX43" s="14"/>
      <c r="FY43" s="14"/>
      <c r="FZ43" s="14"/>
      <c r="GA43" s="14"/>
      <c r="GB43" s="14"/>
      <c r="GC43" s="14"/>
      <c r="GD43" s="14"/>
      <c r="GE43" s="14"/>
      <c r="GF43" s="14"/>
      <c r="GG43" s="14"/>
      <c r="GH43" s="14"/>
      <c r="GI43" s="14"/>
      <c r="GJ43" s="14"/>
      <c r="GK43" s="14"/>
      <c r="GL43" s="14"/>
      <c r="GM43" s="14"/>
      <c r="GN43" s="14"/>
      <c r="GO43" s="14"/>
      <c r="GP43" s="14"/>
      <c r="GQ43" s="14"/>
      <c r="GR43" s="14"/>
      <c r="GS43" s="14"/>
      <c r="GT43" s="14"/>
      <c r="GU43" s="14"/>
      <c r="GV43" s="14"/>
      <c r="GW43" s="14"/>
      <c r="GX43" s="14"/>
      <c r="GY43" s="14"/>
      <c r="GZ43" s="14"/>
      <c r="HA43" s="14"/>
      <c r="HB43" s="14"/>
      <c r="HC43" s="14"/>
      <c r="HD43" s="14"/>
      <c r="HE43" s="14"/>
      <c r="HF43" s="14"/>
      <c r="HG43" s="14"/>
      <c r="HH43" s="14"/>
      <c r="HI43" s="14"/>
      <c r="HJ43" s="14"/>
      <c r="HK43" s="14"/>
      <c r="HL43" s="14"/>
      <c r="HM43" s="14"/>
      <c r="HN43" s="14"/>
      <c r="HO43" s="14"/>
      <c r="HP43" s="14"/>
      <c r="HQ43" s="14"/>
      <c r="HR43" s="14"/>
      <c r="HS43" s="14"/>
      <c r="HT43" s="14"/>
      <c r="HU43" s="14"/>
      <c r="HV43" s="14"/>
      <c r="HW43" s="14"/>
      <c r="HX43" s="14"/>
      <c r="HY43" s="14"/>
      <c r="HZ43" s="14"/>
      <c r="IA43" s="14"/>
      <c r="IB43" s="14"/>
      <c r="IC43" s="14"/>
      <c r="ID43" s="14"/>
      <c r="IE43" s="14"/>
      <c r="IF43" s="14"/>
      <c r="IG43" s="14"/>
      <c r="IH43" s="14"/>
      <c r="II43" s="14"/>
      <c r="IJ43" s="14"/>
      <c r="IK43" s="14"/>
      <c r="IL43" s="14"/>
      <c r="IM43" s="14"/>
      <c r="IN43" s="14"/>
      <c r="IO43" s="14"/>
      <c r="IP43" s="14"/>
      <c r="IQ43" s="14"/>
      <c r="IR43" s="14"/>
      <c r="IS43" s="14"/>
      <c r="IT43" s="14"/>
      <c r="IU43" s="14"/>
      <c r="IV43" s="14"/>
      <c r="IW43" s="14"/>
      <c r="IX43" s="14"/>
      <c r="IY43" s="14"/>
      <c r="IZ43" s="14"/>
      <c r="JA43" s="14"/>
      <c r="JB43" s="14"/>
      <c r="JC43" s="14"/>
      <c r="JD43" s="14"/>
      <c r="JE43" s="14"/>
      <c r="JF43" s="14"/>
      <c r="JG43" s="14"/>
      <c r="JH43" s="14"/>
      <c r="JI43" s="14"/>
      <c r="JJ43" s="14"/>
      <c r="JK43" s="14"/>
      <c r="JL43" s="14"/>
      <c r="JM43" s="14"/>
      <c r="JN43" s="14"/>
      <c r="JO43" s="14"/>
      <c r="JP43" s="14"/>
      <c r="JQ43" s="14"/>
      <c r="JR43" s="14"/>
      <c r="JS43" s="14"/>
      <c r="JT43" s="14"/>
      <c r="JU43" s="14"/>
      <c r="JV43" s="14"/>
      <c r="JW43" s="14"/>
      <c r="JX43" s="14"/>
      <c r="JY43" s="14"/>
      <c r="JZ43" s="14"/>
      <c r="KA43" s="14"/>
      <c r="KB43" s="14"/>
      <c r="KC43" s="14"/>
      <c r="KD43" s="14"/>
      <c r="KE43" s="14"/>
      <c r="KF43" s="14"/>
      <c r="KG43" s="14"/>
      <c r="KH43" s="14"/>
    </row>
    <row r="44" spans="1:294" s="31" customFormat="1" ht="27" hidden="1" customHeight="1">
      <c r="A44" s="92">
        <f>--SUBTOTAL(2,CC$12:CC44)</f>
        <v>32</v>
      </c>
      <c r="B44" s="733" t="str">
        <f>IF(FILIACIÓN!B42="","",UPPER(FILIACIÓN!B42))</f>
        <v/>
      </c>
      <c r="C44" s="734"/>
      <c r="D44" s="735"/>
      <c r="E44" s="465" t="str">
        <f>'ASISTENCIA 3'!CD45</f>
        <v/>
      </c>
      <c r="F44" s="544"/>
      <c r="G44" s="544"/>
      <c r="H44" s="544"/>
      <c r="I44" s="544"/>
      <c r="J44" s="544"/>
      <c r="K44" s="544"/>
      <c r="L44" s="544"/>
      <c r="M44" s="89"/>
      <c r="N44" s="89"/>
      <c r="O44" s="344" t="str">
        <f t="shared" si="0"/>
        <v/>
      </c>
      <c r="P44" s="59"/>
      <c r="Q44" s="120"/>
      <c r="R44" s="502"/>
      <c r="S44" s="502"/>
      <c r="T44" s="502"/>
      <c r="U44" s="502"/>
      <c r="V44" s="502"/>
      <c r="W44" s="502"/>
      <c r="X44" s="502"/>
      <c r="Y44" s="502"/>
      <c r="Z44" s="502"/>
      <c r="AA44" s="121"/>
      <c r="AB44" s="89"/>
      <c r="AC44" s="89"/>
      <c r="AD44" s="89"/>
      <c r="AE44" s="89"/>
      <c r="AF44" s="344" t="str">
        <f t="shared" si="1"/>
        <v/>
      </c>
      <c r="AG44" s="59"/>
      <c r="AH44" s="120"/>
      <c r="AI44" s="502"/>
      <c r="AJ44" s="502"/>
      <c r="AK44" s="502"/>
      <c r="AL44" s="502"/>
      <c r="AM44" s="502"/>
      <c r="AN44" s="502"/>
      <c r="AO44" s="502"/>
      <c r="AP44" s="502"/>
      <c r="AQ44" s="502"/>
      <c r="AR44" s="121"/>
      <c r="AS44" s="121"/>
      <c r="AT44" s="121"/>
      <c r="AU44" s="121"/>
      <c r="AV44" s="89"/>
      <c r="AW44" s="344" t="str">
        <f t="shared" si="2"/>
        <v/>
      </c>
      <c r="AX44" s="59"/>
      <c r="AY44" s="120"/>
      <c r="AZ44" s="502"/>
      <c r="BA44" s="502"/>
      <c r="BB44" s="502"/>
      <c r="BC44" s="502"/>
      <c r="BD44" s="502"/>
      <c r="BE44" s="502"/>
      <c r="BF44" s="502"/>
      <c r="BG44" s="89"/>
      <c r="BH44" s="89"/>
      <c r="BI44" s="344" t="str">
        <f t="shared" si="3"/>
        <v/>
      </c>
      <c r="BJ44" s="338"/>
      <c r="BK44" s="432"/>
      <c r="BL44" s="340"/>
      <c r="BM44" s="196" t="str">
        <f t="shared" si="4"/>
        <v/>
      </c>
      <c r="BN44" s="462" t="str">
        <f t="shared" si="5"/>
        <v/>
      </c>
      <c r="BO44" s="192" t="str">
        <f t="shared" si="6"/>
        <v xml:space="preserve"> </v>
      </c>
      <c r="BP44" s="460" t="str">
        <f>FILIACIÓN!Y42</f>
        <v/>
      </c>
      <c r="BQ44" s="460" t="str">
        <f t="shared" si="7"/>
        <v/>
      </c>
      <c r="BR44" s="460" t="str">
        <f t="shared" si="8"/>
        <v/>
      </c>
      <c r="BS44" s="460"/>
      <c r="BT44" s="425" t="str">
        <f>'1ER TRIMESTRE'!BM44</f>
        <v/>
      </c>
      <c r="BU44" s="425" t="str">
        <f>'2DO TRIMESTRE'!BM44</f>
        <v/>
      </c>
      <c r="BV44" s="425" t="str">
        <f t="shared" si="9"/>
        <v/>
      </c>
      <c r="BW44" s="82"/>
      <c r="BX44" s="82"/>
      <c r="BY44" s="82"/>
      <c r="BZ44" s="39"/>
      <c r="CA44" s="531" t="str">
        <f t="shared" si="10"/>
        <v/>
      </c>
      <c r="CB44" s="30" t="str">
        <f>IF(FILIACIÓN!Z42="MOSTRAR","1","")</f>
        <v/>
      </c>
      <c r="CC44" s="39">
        <v>32</v>
      </c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14"/>
      <c r="DQ44" s="14"/>
      <c r="DR44" s="14"/>
      <c r="DS44" s="14"/>
      <c r="DT44" s="14"/>
      <c r="DU44" s="14"/>
      <c r="DV44" s="14"/>
      <c r="DW44" s="14"/>
      <c r="DX44" s="14"/>
      <c r="DY44" s="14"/>
      <c r="DZ44" s="14"/>
      <c r="EA44" s="14"/>
      <c r="EB44" s="14"/>
      <c r="EC44" s="14"/>
      <c r="ED44" s="14"/>
      <c r="EE44" s="14"/>
      <c r="EF44" s="14"/>
      <c r="EG44" s="14"/>
      <c r="EH44" s="14"/>
      <c r="EI44" s="14"/>
      <c r="EJ44" s="14"/>
      <c r="EK44" s="14"/>
      <c r="EL44" s="14"/>
      <c r="EM44" s="14"/>
      <c r="EN44" s="14"/>
      <c r="EO44" s="14"/>
      <c r="EP44" s="14"/>
      <c r="EQ44" s="14"/>
      <c r="ER44" s="14"/>
      <c r="ES44" s="14"/>
      <c r="ET44" s="14"/>
      <c r="EU44" s="14"/>
      <c r="EV44" s="14"/>
      <c r="EW44" s="14"/>
      <c r="EX44" s="14"/>
      <c r="EY44" s="14"/>
      <c r="EZ44" s="14"/>
      <c r="FA44" s="14"/>
      <c r="FB44" s="14"/>
      <c r="FC44" s="14"/>
      <c r="FD44" s="14"/>
      <c r="FE44" s="14"/>
      <c r="FF44" s="14"/>
      <c r="FG44" s="14"/>
      <c r="FH44" s="14"/>
      <c r="FI44" s="14"/>
      <c r="FJ44" s="14"/>
      <c r="FK44" s="14"/>
      <c r="FL44" s="14"/>
      <c r="FM44" s="14"/>
      <c r="FN44" s="14"/>
      <c r="FO44" s="14"/>
      <c r="FP44" s="14"/>
      <c r="FQ44" s="14"/>
      <c r="FR44" s="14"/>
      <c r="FS44" s="14"/>
      <c r="FT44" s="14"/>
      <c r="FU44" s="14"/>
      <c r="FV44" s="14"/>
      <c r="FW44" s="14"/>
      <c r="FX44" s="14"/>
      <c r="FY44" s="14"/>
      <c r="FZ44" s="14"/>
      <c r="GA44" s="14"/>
      <c r="GB44" s="14"/>
      <c r="GC44" s="14"/>
      <c r="GD44" s="14"/>
      <c r="GE44" s="14"/>
      <c r="GF44" s="14"/>
      <c r="GG44" s="14"/>
      <c r="GH44" s="14"/>
      <c r="GI44" s="14"/>
      <c r="GJ44" s="14"/>
      <c r="GK44" s="14"/>
      <c r="GL44" s="14"/>
      <c r="GM44" s="14"/>
      <c r="GN44" s="14"/>
      <c r="GO44" s="14"/>
      <c r="GP44" s="14"/>
      <c r="GQ44" s="14"/>
      <c r="GR44" s="14"/>
      <c r="GS44" s="14"/>
      <c r="GT44" s="14"/>
      <c r="GU44" s="14"/>
      <c r="GV44" s="14"/>
      <c r="GW44" s="14"/>
      <c r="GX44" s="14"/>
      <c r="GY44" s="14"/>
      <c r="GZ44" s="14"/>
      <c r="HA44" s="14"/>
      <c r="HB44" s="14"/>
      <c r="HC44" s="14"/>
      <c r="HD44" s="14"/>
      <c r="HE44" s="14"/>
      <c r="HF44" s="14"/>
      <c r="HG44" s="14"/>
      <c r="HH44" s="14"/>
      <c r="HI44" s="14"/>
      <c r="HJ44" s="14"/>
      <c r="HK44" s="14"/>
      <c r="HL44" s="14"/>
      <c r="HM44" s="14"/>
      <c r="HN44" s="14"/>
      <c r="HO44" s="14"/>
      <c r="HP44" s="14"/>
      <c r="HQ44" s="14"/>
      <c r="HR44" s="14"/>
      <c r="HS44" s="14"/>
      <c r="HT44" s="14"/>
      <c r="HU44" s="14"/>
      <c r="HV44" s="14"/>
      <c r="HW44" s="14"/>
      <c r="HX44" s="14"/>
      <c r="HY44" s="14"/>
      <c r="HZ44" s="14"/>
      <c r="IA44" s="14"/>
      <c r="IB44" s="14"/>
      <c r="IC44" s="14"/>
      <c r="ID44" s="14"/>
      <c r="IE44" s="14"/>
      <c r="IF44" s="14"/>
      <c r="IG44" s="14"/>
      <c r="IH44" s="14"/>
      <c r="II44" s="14"/>
      <c r="IJ44" s="14"/>
      <c r="IK44" s="14"/>
      <c r="IL44" s="14"/>
      <c r="IM44" s="14"/>
      <c r="IN44" s="14"/>
      <c r="IO44" s="14"/>
      <c r="IP44" s="14"/>
      <c r="IQ44" s="14"/>
      <c r="IR44" s="14"/>
      <c r="IS44" s="14"/>
      <c r="IT44" s="14"/>
      <c r="IU44" s="14"/>
      <c r="IV44" s="14"/>
      <c r="IW44" s="14"/>
      <c r="IX44" s="14"/>
      <c r="IY44" s="14"/>
      <c r="IZ44" s="14"/>
      <c r="JA44" s="14"/>
      <c r="JB44" s="14"/>
      <c r="JC44" s="14"/>
      <c r="JD44" s="14"/>
      <c r="JE44" s="14"/>
      <c r="JF44" s="14"/>
      <c r="JG44" s="14"/>
      <c r="JH44" s="14"/>
      <c r="JI44" s="14"/>
      <c r="JJ44" s="14"/>
      <c r="JK44" s="14"/>
      <c r="JL44" s="14"/>
      <c r="JM44" s="14"/>
      <c r="JN44" s="14"/>
      <c r="JO44" s="14"/>
      <c r="JP44" s="14"/>
      <c r="JQ44" s="14"/>
      <c r="JR44" s="14"/>
      <c r="JS44" s="14"/>
      <c r="JT44" s="14"/>
      <c r="JU44" s="14"/>
      <c r="JV44" s="14"/>
      <c r="JW44" s="14"/>
      <c r="JX44" s="14"/>
      <c r="JY44" s="14"/>
      <c r="JZ44" s="14"/>
      <c r="KA44" s="14"/>
      <c r="KB44" s="14"/>
      <c r="KC44" s="14"/>
      <c r="KD44" s="14"/>
      <c r="KE44" s="14"/>
      <c r="KF44" s="14"/>
      <c r="KG44" s="14"/>
      <c r="KH44" s="14"/>
    </row>
    <row r="45" spans="1:294" s="31" customFormat="1" ht="27" hidden="1" customHeight="1">
      <c r="A45" s="92">
        <f>--SUBTOTAL(2,CC$12:CC45)</f>
        <v>33</v>
      </c>
      <c r="B45" s="733" t="str">
        <f>IF(FILIACIÓN!B43="","",UPPER(FILIACIÓN!B43))</f>
        <v/>
      </c>
      <c r="C45" s="734"/>
      <c r="D45" s="735"/>
      <c r="E45" s="465" t="str">
        <f>'ASISTENCIA 3'!CD46</f>
        <v/>
      </c>
      <c r="F45" s="544"/>
      <c r="G45" s="544"/>
      <c r="H45" s="544"/>
      <c r="I45" s="544"/>
      <c r="J45" s="544"/>
      <c r="K45" s="544"/>
      <c r="L45" s="544"/>
      <c r="M45" s="89"/>
      <c r="N45" s="89"/>
      <c r="O45" s="344" t="str">
        <f t="shared" si="0"/>
        <v/>
      </c>
      <c r="P45" s="59"/>
      <c r="Q45" s="120"/>
      <c r="R45" s="502"/>
      <c r="S45" s="502"/>
      <c r="T45" s="502"/>
      <c r="U45" s="502"/>
      <c r="V45" s="502"/>
      <c r="W45" s="502"/>
      <c r="X45" s="502"/>
      <c r="Y45" s="502"/>
      <c r="Z45" s="502"/>
      <c r="AA45" s="121"/>
      <c r="AB45" s="89"/>
      <c r="AC45" s="89"/>
      <c r="AD45" s="89"/>
      <c r="AE45" s="89"/>
      <c r="AF45" s="344" t="str">
        <f t="shared" si="1"/>
        <v/>
      </c>
      <c r="AG45" s="59"/>
      <c r="AH45" s="120"/>
      <c r="AI45" s="502"/>
      <c r="AJ45" s="502"/>
      <c r="AK45" s="502"/>
      <c r="AL45" s="502"/>
      <c r="AM45" s="502"/>
      <c r="AN45" s="502"/>
      <c r="AO45" s="502"/>
      <c r="AP45" s="502"/>
      <c r="AQ45" s="502"/>
      <c r="AR45" s="121"/>
      <c r="AS45" s="121"/>
      <c r="AT45" s="121"/>
      <c r="AU45" s="121"/>
      <c r="AV45" s="89"/>
      <c r="AW45" s="344" t="str">
        <f t="shared" si="2"/>
        <v/>
      </c>
      <c r="AX45" s="59"/>
      <c r="AY45" s="120"/>
      <c r="AZ45" s="502"/>
      <c r="BA45" s="502"/>
      <c r="BB45" s="502"/>
      <c r="BC45" s="502"/>
      <c r="BD45" s="502"/>
      <c r="BE45" s="502"/>
      <c r="BF45" s="502"/>
      <c r="BG45" s="89"/>
      <c r="BH45" s="89"/>
      <c r="BI45" s="344" t="str">
        <f t="shared" si="3"/>
        <v/>
      </c>
      <c r="BJ45" s="338"/>
      <c r="BK45" s="432"/>
      <c r="BL45" s="340"/>
      <c r="BM45" s="196" t="str">
        <f t="shared" si="4"/>
        <v/>
      </c>
      <c r="BN45" s="462" t="str">
        <f t="shared" si="5"/>
        <v/>
      </c>
      <c r="BO45" s="192" t="str">
        <f t="shared" si="6"/>
        <v xml:space="preserve"> </v>
      </c>
      <c r="BP45" s="460" t="str">
        <f>FILIACIÓN!Y43</f>
        <v/>
      </c>
      <c r="BQ45" s="460" t="str">
        <f t="shared" si="7"/>
        <v/>
      </c>
      <c r="BR45" s="460" t="str">
        <f t="shared" si="8"/>
        <v/>
      </c>
      <c r="BS45" s="460"/>
      <c r="BT45" s="425" t="str">
        <f>'1ER TRIMESTRE'!BM45</f>
        <v/>
      </c>
      <c r="BU45" s="425" t="str">
        <f>'2DO TRIMESTRE'!BM45</f>
        <v/>
      </c>
      <c r="BV45" s="425" t="str">
        <f t="shared" si="9"/>
        <v/>
      </c>
      <c r="BW45" s="82"/>
      <c r="BX45" s="82"/>
      <c r="BY45" s="82"/>
      <c r="BZ45" s="39"/>
      <c r="CA45" s="531" t="str">
        <f t="shared" si="10"/>
        <v/>
      </c>
      <c r="CB45" s="30" t="str">
        <f>IF(FILIACIÓN!Z43="MOSTRAR","1","")</f>
        <v/>
      </c>
      <c r="CC45" s="39">
        <v>33</v>
      </c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14"/>
      <c r="DQ45" s="14"/>
      <c r="DR45" s="14"/>
      <c r="DS45" s="14"/>
      <c r="DT45" s="14"/>
      <c r="DU45" s="14"/>
      <c r="DV45" s="14"/>
      <c r="DW45" s="14"/>
      <c r="DX45" s="14"/>
      <c r="DY45" s="14"/>
      <c r="DZ45" s="14"/>
      <c r="EA45" s="14"/>
      <c r="EB45" s="14"/>
      <c r="EC45" s="14"/>
      <c r="ED45" s="14"/>
      <c r="EE45" s="14"/>
      <c r="EF45" s="14"/>
      <c r="EG45" s="14"/>
      <c r="EH45" s="14"/>
      <c r="EI45" s="14"/>
      <c r="EJ45" s="14"/>
      <c r="EK45" s="14"/>
      <c r="EL45" s="14"/>
      <c r="EM45" s="14"/>
      <c r="EN45" s="14"/>
      <c r="EO45" s="14"/>
      <c r="EP45" s="14"/>
      <c r="EQ45" s="14"/>
      <c r="ER45" s="14"/>
      <c r="ES45" s="14"/>
      <c r="ET45" s="14"/>
      <c r="EU45" s="14"/>
      <c r="EV45" s="14"/>
      <c r="EW45" s="14"/>
      <c r="EX45" s="14"/>
      <c r="EY45" s="14"/>
      <c r="EZ45" s="14"/>
      <c r="FA45" s="14"/>
      <c r="FB45" s="14"/>
      <c r="FC45" s="14"/>
      <c r="FD45" s="14"/>
      <c r="FE45" s="14"/>
      <c r="FF45" s="14"/>
      <c r="FG45" s="14"/>
      <c r="FH45" s="14"/>
      <c r="FI45" s="14"/>
      <c r="FJ45" s="14"/>
      <c r="FK45" s="14"/>
      <c r="FL45" s="14"/>
      <c r="FM45" s="14"/>
      <c r="FN45" s="14"/>
      <c r="FO45" s="14"/>
      <c r="FP45" s="14"/>
      <c r="FQ45" s="14"/>
      <c r="FR45" s="14"/>
      <c r="FS45" s="14"/>
      <c r="FT45" s="14"/>
      <c r="FU45" s="14"/>
      <c r="FV45" s="14"/>
      <c r="FW45" s="14"/>
      <c r="FX45" s="14"/>
      <c r="FY45" s="14"/>
      <c r="FZ45" s="14"/>
      <c r="GA45" s="14"/>
      <c r="GB45" s="14"/>
      <c r="GC45" s="14"/>
      <c r="GD45" s="14"/>
      <c r="GE45" s="14"/>
      <c r="GF45" s="14"/>
      <c r="GG45" s="14"/>
      <c r="GH45" s="14"/>
      <c r="GI45" s="14"/>
      <c r="GJ45" s="14"/>
      <c r="GK45" s="14"/>
      <c r="GL45" s="14"/>
      <c r="GM45" s="14"/>
      <c r="GN45" s="14"/>
      <c r="GO45" s="14"/>
      <c r="GP45" s="14"/>
      <c r="GQ45" s="14"/>
      <c r="GR45" s="14"/>
      <c r="GS45" s="14"/>
      <c r="GT45" s="14"/>
      <c r="GU45" s="14"/>
      <c r="GV45" s="14"/>
      <c r="GW45" s="14"/>
      <c r="GX45" s="14"/>
      <c r="GY45" s="14"/>
      <c r="GZ45" s="14"/>
      <c r="HA45" s="14"/>
      <c r="HB45" s="14"/>
      <c r="HC45" s="14"/>
      <c r="HD45" s="14"/>
      <c r="HE45" s="14"/>
      <c r="HF45" s="14"/>
      <c r="HG45" s="14"/>
      <c r="HH45" s="14"/>
      <c r="HI45" s="14"/>
      <c r="HJ45" s="14"/>
      <c r="HK45" s="14"/>
      <c r="HL45" s="14"/>
      <c r="HM45" s="14"/>
      <c r="HN45" s="14"/>
      <c r="HO45" s="14"/>
      <c r="HP45" s="14"/>
      <c r="HQ45" s="14"/>
      <c r="HR45" s="14"/>
      <c r="HS45" s="14"/>
      <c r="HT45" s="14"/>
      <c r="HU45" s="14"/>
      <c r="HV45" s="14"/>
      <c r="HW45" s="14"/>
      <c r="HX45" s="14"/>
      <c r="HY45" s="14"/>
      <c r="HZ45" s="14"/>
      <c r="IA45" s="14"/>
      <c r="IB45" s="14"/>
      <c r="IC45" s="14"/>
      <c r="ID45" s="14"/>
      <c r="IE45" s="14"/>
      <c r="IF45" s="14"/>
      <c r="IG45" s="14"/>
      <c r="IH45" s="14"/>
      <c r="II45" s="14"/>
      <c r="IJ45" s="14"/>
      <c r="IK45" s="14"/>
      <c r="IL45" s="14"/>
      <c r="IM45" s="14"/>
      <c r="IN45" s="14"/>
      <c r="IO45" s="14"/>
      <c r="IP45" s="14"/>
      <c r="IQ45" s="14"/>
      <c r="IR45" s="14"/>
      <c r="IS45" s="14"/>
      <c r="IT45" s="14"/>
      <c r="IU45" s="14"/>
      <c r="IV45" s="14"/>
      <c r="IW45" s="14"/>
      <c r="IX45" s="14"/>
      <c r="IY45" s="14"/>
      <c r="IZ45" s="14"/>
      <c r="JA45" s="14"/>
      <c r="JB45" s="14"/>
      <c r="JC45" s="14"/>
      <c r="JD45" s="14"/>
      <c r="JE45" s="14"/>
      <c r="JF45" s="14"/>
      <c r="JG45" s="14"/>
      <c r="JH45" s="14"/>
      <c r="JI45" s="14"/>
      <c r="JJ45" s="14"/>
      <c r="JK45" s="14"/>
      <c r="JL45" s="14"/>
      <c r="JM45" s="14"/>
      <c r="JN45" s="14"/>
      <c r="JO45" s="14"/>
      <c r="JP45" s="14"/>
      <c r="JQ45" s="14"/>
      <c r="JR45" s="14"/>
      <c r="JS45" s="14"/>
      <c r="JT45" s="14"/>
      <c r="JU45" s="14"/>
      <c r="JV45" s="14"/>
      <c r="JW45" s="14"/>
      <c r="JX45" s="14"/>
      <c r="JY45" s="14"/>
      <c r="JZ45" s="14"/>
      <c r="KA45" s="14"/>
      <c r="KB45" s="14"/>
      <c r="KC45" s="14"/>
      <c r="KD45" s="14"/>
      <c r="KE45" s="14"/>
      <c r="KF45" s="14"/>
      <c r="KG45" s="14"/>
      <c r="KH45" s="14"/>
    </row>
    <row r="46" spans="1:294" s="31" customFormat="1" ht="27" hidden="1" customHeight="1">
      <c r="A46" s="92">
        <f>--SUBTOTAL(2,CC$12:CC46)</f>
        <v>34</v>
      </c>
      <c r="B46" s="733" t="str">
        <f>IF(FILIACIÓN!B44="","",UPPER(FILIACIÓN!B44))</f>
        <v/>
      </c>
      <c r="C46" s="734"/>
      <c r="D46" s="735"/>
      <c r="E46" s="465" t="str">
        <f>'ASISTENCIA 3'!CD47</f>
        <v/>
      </c>
      <c r="F46" s="544"/>
      <c r="G46" s="544"/>
      <c r="H46" s="544"/>
      <c r="I46" s="544"/>
      <c r="J46" s="544"/>
      <c r="K46" s="544"/>
      <c r="L46" s="544"/>
      <c r="M46" s="89"/>
      <c r="N46" s="89"/>
      <c r="O46" s="344" t="str">
        <f t="shared" si="0"/>
        <v/>
      </c>
      <c r="P46" s="59"/>
      <c r="Q46" s="120"/>
      <c r="R46" s="502"/>
      <c r="S46" s="502"/>
      <c r="T46" s="502"/>
      <c r="U46" s="502"/>
      <c r="V46" s="502"/>
      <c r="W46" s="502"/>
      <c r="X46" s="502"/>
      <c r="Y46" s="502"/>
      <c r="Z46" s="502"/>
      <c r="AA46" s="121"/>
      <c r="AB46" s="89"/>
      <c r="AC46" s="89"/>
      <c r="AD46" s="89"/>
      <c r="AE46" s="89"/>
      <c r="AF46" s="344" t="str">
        <f t="shared" si="1"/>
        <v/>
      </c>
      <c r="AG46" s="59"/>
      <c r="AH46" s="120"/>
      <c r="AI46" s="502"/>
      <c r="AJ46" s="502"/>
      <c r="AK46" s="502"/>
      <c r="AL46" s="502"/>
      <c r="AM46" s="502"/>
      <c r="AN46" s="502"/>
      <c r="AO46" s="502"/>
      <c r="AP46" s="502"/>
      <c r="AQ46" s="502"/>
      <c r="AR46" s="121"/>
      <c r="AS46" s="121"/>
      <c r="AT46" s="121"/>
      <c r="AU46" s="121"/>
      <c r="AV46" s="89"/>
      <c r="AW46" s="344" t="str">
        <f t="shared" si="2"/>
        <v/>
      </c>
      <c r="AX46" s="59"/>
      <c r="AY46" s="120"/>
      <c r="AZ46" s="502"/>
      <c r="BA46" s="502"/>
      <c r="BB46" s="502"/>
      <c r="BC46" s="502"/>
      <c r="BD46" s="502"/>
      <c r="BE46" s="502"/>
      <c r="BF46" s="502"/>
      <c r="BG46" s="89"/>
      <c r="BH46" s="89"/>
      <c r="BI46" s="344" t="str">
        <f t="shared" si="3"/>
        <v/>
      </c>
      <c r="BJ46" s="338"/>
      <c r="BK46" s="432"/>
      <c r="BL46" s="340"/>
      <c r="BM46" s="196" t="str">
        <f t="shared" si="4"/>
        <v/>
      </c>
      <c r="BN46" s="462" t="str">
        <f t="shared" si="5"/>
        <v/>
      </c>
      <c r="BO46" s="192" t="str">
        <f t="shared" si="6"/>
        <v xml:space="preserve"> </v>
      </c>
      <c r="BP46" s="460" t="str">
        <f>FILIACIÓN!Y44</f>
        <v/>
      </c>
      <c r="BQ46" s="460" t="str">
        <f t="shared" si="7"/>
        <v/>
      </c>
      <c r="BR46" s="460" t="str">
        <f t="shared" si="8"/>
        <v/>
      </c>
      <c r="BS46" s="460"/>
      <c r="BT46" s="425" t="str">
        <f>'1ER TRIMESTRE'!BM46</f>
        <v/>
      </c>
      <c r="BU46" s="425" t="str">
        <f>'2DO TRIMESTRE'!BM46</f>
        <v/>
      </c>
      <c r="BV46" s="425" t="str">
        <f t="shared" si="9"/>
        <v/>
      </c>
      <c r="BW46" s="82"/>
      <c r="BX46" s="82"/>
      <c r="BY46" s="82"/>
      <c r="BZ46" s="39"/>
      <c r="CA46" s="531" t="str">
        <f t="shared" si="10"/>
        <v/>
      </c>
      <c r="CB46" s="30" t="str">
        <f>IF(FILIACIÓN!Z44="MOSTRAR","1","")</f>
        <v/>
      </c>
      <c r="CC46" s="39">
        <v>34</v>
      </c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14"/>
      <c r="DQ46" s="14"/>
      <c r="DR46" s="14"/>
      <c r="DS46" s="14"/>
      <c r="DT46" s="14"/>
      <c r="DU46" s="14"/>
      <c r="DV46" s="14"/>
      <c r="DW46" s="14"/>
      <c r="DX46" s="14"/>
      <c r="DY46" s="14"/>
      <c r="DZ46" s="14"/>
      <c r="EA46" s="14"/>
      <c r="EB46" s="14"/>
      <c r="EC46" s="14"/>
      <c r="ED46" s="14"/>
      <c r="EE46" s="14"/>
      <c r="EF46" s="14"/>
      <c r="EG46" s="14"/>
      <c r="EH46" s="14"/>
      <c r="EI46" s="14"/>
      <c r="EJ46" s="14"/>
      <c r="EK46" s="14"/>
      <c r="EL46" s="14"/>
      <c r="EM46" s="14"/>
      <c r="EN46" s="14"/>
      <c r="EO46" s="14"/>
      <c r="EP46" s="14"/>
      <c r="EQ46" s="14"/>
      <c r="ER46" s="14"/>
      <c r="ES46" s="14"/>
      <c r="ET46" s="14"/>
      <c r="EU46" s="14"/>
      <c r="EV46" s="14"/>
      <c r="EW46" s="14"/>
      <c r="EX46" s="14"/>
      <c r="EY46" s="14"/>
      <c r="EZ46" s="14"/>
      <c r="FA46" s="14"/>
      <c r="FB46" s="14"/>
      <c r="FC46" s="14"/>
      <c r="FD46" s="14"/>
      <c r="FE46" s="14"/>
      <c r="FF46" s="14"/>
      <c r="FG46" s="14"/>
      <c r="FH46" s="14"/>
      <c r="FI46" s="14"/>
      <c r="FJ46" s="14"/>
      <c r="FK46" s="14"/>
      <c r="FL46" s="14"/>
      <c r="FM46" s="14"/>
      <c r="FN46" s="14"/>
      <c r="FO46" s="14"/>
      <c r="FP46" s="14"/>
      <c r="FQ46" s="14"/>
      <c r="FR46" s="14"/>
      <c r="FS46" s="14"/>
      <c r="FT46" s="14"/>
      <c r="FU46" s="14"/>
      <c r="FV46" s="14"/>
      <c r="FW46" s="14"/>
      <c r="FX46" s="14"/>
      <c r="FY46" s="14"/>
      <c r="FZ46" s="14"/>
      <c r="GA46" s="14"/>
      <c r="GB46" s="14"/>
      <c r="GC46" s="14"/>
      <c r="GD46" s="14"/>
      <c r="GE46" s="14"/>
      <c r="GF46" s="14"/>
      <c r="GG46" s="14"/>
      <c r="GH46" s="14"/>
      <c r="GI46" s="14"/>
      <c r="GJ46" s="14"/>
      <c r="GK46" s="14"/>
      <c r="GL46" s="14"/>
      <c r="GM46" s="14"/>
      <c r="GN46" s="14"/>
      <c r="GO46" s="14"/>
      <c r="GP46" s="14"/>
      <c r="GQ46" s="14"/>
      <c r="GR46" s="14"/>
      <c r="GS46" s="14"/>
      <c r="GT46" s="14"/>
      <c r="GU46" s="14"/>
      <c r="GV46" s="14"/>
      <c r="GW46" s="14"/>
      <c r="GX46" s="14"/>
      <c r="GY46" s="14"/>
      <c r="GZ46" s="14"/>
      <c r="HA46" s="14"/>
      <c r="HB46" s="14"/>
      <c r="HC46" s="14"/>
      <c r="HD46" s="14"/>
      <c r="HE46" s="14"/>
      <c r="HF46" s="14"/>
      <c r="HG46" s="14"/>
      <c r="HH46" s="14"/>
      <c r="HI46" s="14"/>
      <c r="HJ46" s="14"/>
      <c r="HK46" s="14"/>
      <c r="HL46" s="14"/>
      <c r="HM46" s="14"/>
      <c r="HN46" s="14"/>
      <c r="HO46" s="14"/>
      <c r="HP46" s="14"/>
      <c r="HQ46" s="14"/>
      <c r="HR46" s="14"/>
      <c r="HS46" s="14"/>
      <c r="HT46" s="14"/>
      <c r="HU46" s="14"/>
      <c r="HV46" s="14"/>
      <c r="HW46" s="14"/>
      <c r="HX46" s="14"/>
      <c r="HY46" s="14"/>
      <c r="HZ46" s="14"/>
      <c r="IA46" s="14"/>
      <c r="IB46" s="14"/>
      <c r="IC46" s="14"/>
      <c r="ID46" s="14"/>
      <c r="IE46" s="14"/>
      <c r="IF46" s="14"/>
      <c r="IG46" s="14"/>
      <c r="IH46" s="14"/>
      <c r="II46" s="14"/>
      <c r="IJ46" s="14"/>
      <c r="IK46" s="14"/>
      <c r="IL46" s="14"/>
      <c r="IM46" s="14"/>
      <c r="IN46" s="14"/>
      <c r="IO46" s="14"/>
      <c r="IP46" s="14"/>
      <c r="IQ46" s="14"/>
      <c r="IR46" s="14"/>
      <c r="IS46" s="14"/>
      <c r="IT46" s="14"/>
      <c r="IU46" s="14"/>
      <c r="IV46" s="14"/>
      <c r="IW46" s="14"/>
      <c r="IX46" s="14"/>
      <c r="IY46" s="14"/>
      <c r="IZ46" s="14"/>
      <c r="JA46" s="14"/>
      <c r="JB46" s="14"/>
      <c r="JC46" s="14"/>
      <c r="JD46" s="14"/>
      <c r="JE46" s="14"/>
      <c r="JF46" s="14"/>
      <c r="JG46" s="14"/>
      <c r="JH46" s="14"/>
      <c r="JI46" s="14"/>
      <c r="JJ46" s="14"/>
      <c r="JK46" s="14"/>
      <c r="JL46" s="14"/>
      <c r="JM46" s="14"/>
      <c r="JN46" s="14"/>
      <c r="JO46" s="14"/>
      <c r="JP46" s="14"/>
      <c r="JQ46" s="14"/>
      <c r="JR46" s="14"/>
      <c r="JS46" s="14"/>
      <c r="JT46" s="14"/>
      <c r="JU46" s="14"/>
      <c r="JV46" s="14"/>
      <c r="JW46" s="14"/>
      <c r="JX46" s="14"/>
      <c r="JY46" s="14"/>
      <c r="JZ46" s="14"/>
      <c r="KA46" s="14"/>
      <c r="KB46" s="14"/>
      <c r="KC46" s="14"/>
      <c r="KD46" s="14"/>
      <c r="KE46" s="14"/>
      <c r="KF46" s="14"/>
      <c r="KG46" s="14"/>
      <c r="KH46" s="14"/>
    </row>
    <row r="47" spans="1:294" s="31" customFormat="1" ht="27" hidden="1" customHeight="1">
      <c r="A47" s="92">
        <f>--SUBTOTAL(2,CC$12:CC47)</f>
        <v>35</v>
      </c>
      <c r="B47" s="733" t="str">
        <f>IF(FILIACIÓN!B45="","",UPPER(FILIACIÓN!B45))</f>
        <v/>
      </c>
      <c r="C47" s="734"/>
      <c r="D47" s="735"/>
      <c r="E47" s="465" t="str">
        <f>'ASISTENCIA 3'!CD48</f>
        <v/>
      </c>
      <c r="F47" s="544"/>
      <c r="G47" s="544"/>
      <c r="H47" s="544"/>
      <c r="I47" s="544"/>
      <c r="J47" s="544"/>
      <c r="K47" s="544"/>
      <c r="L47" s="544"/>
      <c r="M47" s="89"/>
      <c r="N47" s="89"/>
      <c r="O47" s="344" t="str">
        <f t="shared" si="0"/>
        <v/>
      </c>
      <c r="P47" s="59"/>
      <c r="Q47" s="120"/>
      <c r="R47" s="502"/>
      <c r="S47" s="502"/>
      <c r="T47" s="502"/>
      <c r="U47" s="502"/>
      <c r="V47" s="502"/>
      <c r="W47" s="502"/>
      <c r="X47" s="502"/>
      <c r="Y47" s="502"/>
      <c r="Z47" s="502"/>
      <c r="AA47" s="121"/>
      <c r="AB47" s="89"/>
      <c r="AC47" s="89"/>
      <c r="AD47" s="89"/>
      <c r="AE47" s="89"/>
      <c r="AF47" s="344" t="str">
        <f t="shared" si="1"/>
        <v/>
      </c>
      <c r="AG47" s="59"/>
      <c r="AH47" s="120"/>
      <c r="AI47" s="502"/>
      <c r="AJ47" s="502"/>
      <c r="AK47" s="502"/>
      <c r="AL47" s="502"/>
      <c r="AM47" s="502"/>
      <c r="AN47" s="502"/>
      <c r="AO47" s="502"/>
      <c r="AP47" s="502"/>
      <c r="AQ47" s="502"/>
      <c r="AR47" s="121"/>
      <c r="AS47" s="121"/>
      <c r="AT47" s="121"/>
      <c r="AU47" s="121"/>
      <c r="AV47" s="89"/>
      <c r="AW47" s="344" t="str">
        <f t="shared" si="2"/>
        <v/>
      </c>
      <c r="AX47" s="59"/>
      <c r="AY47" s="120"/>
      <c r="AZ47" s="502"/>
      <c r="BA47" s="502"/>
      <c r="BB47" s="502"/>
      <c r="BC47" s="502"/>
      <c r="BD47" s="502"/>
      <c r="BE47" s="502"/>
      <c r="BF47" s="502"/>
      <c r="BG47" s="89"/>
      <c r="BH47" s="89"/>
      <c r="BI47" s="344" t="str">
        <f t="shared" si="3"/>
        <v/>
      </c>
      <c r="BJ47" s="338"/>
      <c r="BK47" s="432"/>
      <c r="BL47" s="340"/>
      <c r="BM47" s="196" t="str">
        <f t="shared" si="4"/>
        <v/>
      </c>
      <c r="BN47" s="462" t="str">
        <f t="shared" si="5"/>
        <v/>
      </c>
      <c r="BO47" s="192" t="str">
        <f t="shared" si="6"/>
        <v xml:space="preserve"> </v>
      </c>
      <c r="BP47" s="460" t="str">
        <f>FILIACIÓN!Y45</f>
        <v/>
      </c>
      <c r="BQ47" s="460" t="str">
        <f t="shared" si="7"/>
        <v/>
      </c>
      <c r="BR47" s="460" t="str">
        <f t="shared" si="8"/>
        <v/>
      </c>
      <c r="BS47" s="460"/>
      <c r="BT47" s="425" t="str">
        <f>'1ER TRIMESTRE'!BM47</f>
        <v/>
      </c>
      <c r="BU47" s="425" t="str">
        <f>'2DO TRIMESTRE'!BM47</f>
        <v/>
      </c>
      <c r="BV47" s="425" t="str">
        <f t="shared" si="9"/>
        <v/>
      </c>
      <c r="BW47" s="82"/>
      <c r="BX47" s="82"/>
      <c r="BY47" s="82"/>
      <c r="BZ47" s="39"/>
      <c r="CA47" s="531" t="str">
        <f t="shared" si="10"/>
        <v/>
      </c>
      <c r="CB47" s="30" t="str">
        <f>IF(FILIACIÓN!Z45="MOSTRAR","1","")</f>
        <v/>
      </c>
      <c r="CC47" s="39">
        <v>35</v>
      </c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  <c r="IT47" s="14"/>
      <c r="IU47" s="14"/>
      <c r="IV47" s="14"/>
      <c r="IW47" s="14"/>
      <c r="IX47" s="14"/>
      <c r="IY47" s="14"/>
      <c r="IZ47" s="14"/>
      <c r="JA47" s="14"/>
      <c r="JB47" s="14"/>
      <c r="JC47" s="14"/>
      <c r="JD47" s="14"/>
      <c r="JE47" s="14"/>
      <c r="JF47" s="14"/>
      <c r="JG47" s="14"/>
      <c r="JH47" s="14"/>
      <c r="JI47" s="14"/>
      <c r="JJ47" s="14"/>
      <c r="JK47" s="14"/>
      <c r="JL47" s="14"/>
      <c r="JM47" s="14"/>
      <c r="JN47" s="14"/>
      <c r="JO47" s="14"/>
      <c r="JP47" s="14"/>
      <c r="JQ47" s="14"/>
      <c r="JR47" s="14"/>
      <c r="JS47" s="14"/>
      <c r="JT47" s="14"/>
      <c r="JU47" s="14"/>
      <c r="JV47" s="14"/>
      <c r="JW47" s="14"/>
      <c r="JX47" s="14"/>
      <c r="JY47" s="14"/>
      <c r="JZ47" s="14"/>
      <c r="KA47" s="14"/>
      <c r="KB47" s="14"/>
      <c r="KC47" s="14"/>
      <c r="KD47" s="14"/>
      <c r="KE47" s="14"/>
      <c r="KF47" s="14"/>
      <c r="KG47" s="14"/>
      <c r="KH47" s="14"/>
    </row>
    <row r="48" spans="1:294" s="31" customFormat="1" ht="27" hidden="1" customHeight="1">
      <c r="A48" s="92">
        <f>--SUBTOTAL(2,CC$12:CC48)</f>
        <v>36</v>
      </c>
      <c r="B48" s="733" t="str">
        <f>IF(FILIACIÓN!B46="","",UPPER(FILIACIÓN!B46))</f>
        <v/>
      </c>
      <c r="C48" s="734"/>
      <c r="D48" s="735"/>
      <c r="E48" s="465" t="str">
        <f>'ASISTENCIA 3'!CD49</f>
        <v/>
      </c>
      <c r="F48" s="544"/>
      <c r="G48" s="544"/>
      <c r="H48" s="544"/>
      <c r="I48" s="544"/>
      <c r="J48" s="544"/>
      <c r="K48" s="544"/>
      <c r="L48" s="544"/>
      <c r="M48" s="89"/>
      <c r="N48" s="89"/>
      <c r="O48" s="344" t="str">
        <f t="shared" si="0"/>
        <v/>
      </c>
      <c r="P48" s="59"/>
      <c r="Q48" s="120"/>
      <c r="R48" s="502"/>
      <c r="S48" s="502"/>
      <c r="T48" s="502"/>
      <c r="U48" s="502"/>
      <c r="V48" s="502"/>
      <c r="W48" s="502"/>
      <c r="X48" s="502"/>
      <c r="Y48" s="502"/>
      <c r="Z48" s="502"/>
      <c r="AA48" s="121"/>
      <c r="AB48" s="89"/>
      <c r="AC48" s="89"/>
      <c r="AD48" s="89"/>
      <c r="AE48" s="89"/>
      <c r="AF48" s="344" t="str">
        <f t="shared" si="1"/>
        <v/>
      </c>
      <c r="AG48" s="59"/>
      <c r="AH48" s="120"/>
      <c r="AI48" s="502"/>
      <c r="AJ48" s="502"/>
      <c r="AK48" s="502"/>
      <c r="AL48" s="502"/>
      <c r="AM48" s="502"/>
      <c r="AN48" s="502"/>
      <c r="AO48" s="502"/>
      <c r="AP48" s="502"/>
      <c r="AQ48" s="502"/>
      <c r="AR48" s="121"/>
      <c r="AS48" s="121"/>
      <c r="AT48" s="121"/>
      <c r="AU48" s="121"/>
      <c r="AV48" s="89"/>
      <c r="AW48" s="344" t="str">
        <f t="shared" si="2"/>
        <v/>
      </c>
      <c r="AX48" s="59"/>
      <c r="AY48" s="120"/>
      <c r="AZ48" s="502"/>
      <c r="BA48" s="502"/>
      <c r="BB48" s="502"/>
      <c r="BC48" s="502"/>
      <c r="BD48" s="502"/>
      <c r="BE48" s="502"/>
      <c r="BF48" s="502"/>
      <c r="BG48" s="89"/>
      <c r="BH48" s="89"/>
      <c r="BI48" s="344" t="str">
        <f t="shared" si="3"/>
        <v/>
      </c>
      <c r="BJ48" s="338"/>
      <c r="BK48" s="432"/>
      <c r="BL48" s="340"/>
      <c r="BM48" s="196" t="str">
        <f t="shared" si="4"/>
        <v/>
      </c>
      <c r="BN48" s="462" t="str">
        <f t="shared" si="5"/>
        <v/>
      </c>
      <c r="BO48" s="192" t="str">
        <f t="shared" si="6"/>
        <v xml:space="preserve"> </v>
      </c>
      <c r="BP48" s="460" t="str">
        <f>FILIACIÓN!Y46</f>
        <v/>
      </c>
      <c r="BQ48" s="460" t="str">
        <f t="shared" si="7"/>
        <v/>
      </c>
      <c r="BR48" s="460" t="str">
        <f t="shared" si="8"/>
        <v/>
      </c>
      <c r="BS48" s="460"/>
      <c r="BT48" s="425" t="str">
        <f>'1ER TRIMESTRE'!BM48</f>
        <v/>
      </c>
      <c r="BU48" s="425" t="str">
        <f>'2DO TRIMESTRE'!BM48</f>
        <v/>
      </c>
      <c r="BV48" s="425" t="str">
        <f t="shared" si="9"/>
        <v/>
      </c>
      <c r="BW48" s="82"/>
      <c r="BX48" s="82"/>
      <c r="BY48" s="82"/>
      <c r="BZ48" s="39"/>
      <c r="CA48" s="531" t="str">
        <f t="shared" si="10"/>
        <v/>
      </c>
      <c r="CB48" s="30" t="str">
        <f>IF(FILIACIÓN!Z46="MOSTRAR","1","")</f>
        <v/>
      </c>
      <c r="CC48" s="39">
        <v>36</v>
      </c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14"/>
      <c r="DQ48" s="14"/>
      <c r="DR48" s="14"/>
      <c r="DS48" s="14"/>
      <c r="DT48" s="14"/>
      <c r="DU48" s="14"/>
      <c r="DV48" s="14"/>
      <c r="DW48" s="14"/>
      <c r="DX48" s="14"/>
      <c r="DY48" s="14"/>
      <c r="DZ48" s="14"/>
      <c r="EA48" s="14"/>
      <c r="EB48" s="14"/>
      <c r="EC48" s="14"/>
      <c r="ED48" s="14"/>
      <c r="EE48" s="14"/>
      <c r="EF48" s="14"/>
      <c r="EG48" s="14"/>
      <c r="EH48" s="14"/>
      <c r="EI48" s="14"/>
      <c r="EJ48" s="14"/>
      <c r="EK48" s="14"/>
      <c r="EL48" s="14"/>
      <c r="EM48" s="14"/>
      <c r="EN48" s="14"/>
      <c r="EO48" s="14"/>
      <c r="EP48" s="14"/>
      <c r="EQ48" s="14"/>
      <c r="ER48" s="14"/>
      <c r="ES48" s="14"/>
      <c r="ET48" s="14"/>
      <c r="EU48" s="14"/>
      <c r="EV48" s="14"/>
      <c r="EW48" s="14"/>
      <c r="EX48" s="14"/>
      <c r="EY48" s="14"/>
      <c r="EZ48" s="14"/>
      <c r="FA48" s="14"/>
      <c r="FB48" s="14"/>
      <c r="FC48" s="14"/>
      <c r="FD48" s="14"/>
      <c r="FE48" s="14"/>
      <c r="FF48" s="14"/>
      <c r="FG48" s="14"/>
      <c r="FH48" s="14"/>
      <c r="FI48" s="14"/>
      <c r="FJ48" s="14"/>
      <c r="FK48" s="14"/>
      <c r="FL48" s="14"/>
      <c r="FM48" s="14"/>
      <c r="FN48" s="14"/>
      <c r="FO48" s="14"/>
      <c r="FP48" s="14"/>
      <c r="FQ48" s="14"/>
      <c r="FR48" s="14"/>
      <c r="FS48" s="14"/>
      <c r="FT48" s="14"/>
      <c r="FU48" s="14"/>
      <c r="FV48" s="14"/>
      <c r="FW48" s="14"/>
      <c r="FX48" s="14"/>
      <c r="FY48" s="14"/>
      <c r="FZ48" s="14"/>
      <c r="GA48" s="14"/>
      <c r="GB48" s="14"/>
      <c r="GC48" s="14"/>
      <c r="GD48" s="14"/>
      <c r="GE48" s="14"/>
      <c r="GF48" s="14"/>
      <c r="GG48" s="14"/>
      <c r="GH48" s="14"/>
      <c r="GI48" s="14"/>
      <c r="GJ48" s="14"/>
      <c r="GK48" s="14"/>
      <c r="GL48" s="14"/>
      <c r="GM48" s="14"/>
      <c r="GN48" s="14"/>
      <c r="GO48" s="14"/>
      <c r="GP48" s="14"/>
      <c r="GQ48" s="14"/>
      <c r="GR48" s="14"/>
      <c r="GS48" s="14"/>
      <c r="GT48" s="14"/>
      <c r="GU48" s="14"/>
      <c r="GV48" s="14"/>
      <c r="GW48" s="14"/>
      <c r="GX48" s="14"/>
      <c r="GY48" s="14"/>
      <c r="GZ48" s="14"/>
      <c r="HA48" s="14"/>
      <c r="HB48" s="14"/>
      <c r="HC48" s="14"/>
      <c r="HD48" s="14"/>
      <c r="HE48" s="14"/>
      <c r="HF48" s="14"/>
      <c r="HG48" s="14"/>
      <c r="HH48" s="14"/>
      <c r="HI48" s="14"/>
      <c r="HJ48" s="14"/>
      <c r="HK48" s="14"/>
      <c r="HL48" s="14"/>
      <c r="HM48" s="14"/>
      <c r="HN48" s="14"/>
      <c r="HO48" s="14"/>
      <c r="HP48" s="14"/>
      <c r="HQ48" s="14"/>
      <c r="HR48" s="14"/>
      <c r="HS48" s="14"/>
      <c r="HT48" s="14"/>
      <c r="HU48" s="14"/>
      <c r="HV48" s="14"/>
      <c r="HW48" s="14"/>
      <c r="HX48" s="14"/>
      <c r="HY48" s="14"/>
      <c r="HZ48" s="14"/>
      <c r="IA48" s="14"/>
      <c r="IB48" s="14"/>
      <c r="IC48" s="14"/>
      <c r="ID48" s="14"/>
      <c r="IE48" s="14"/>
      <c r="IF48" s="14"/>
      <c r="IG48" s="14"/>
      <c r="IH48" s="14"/>
      <c r="II48" s="14"/>
      <c r="IJ48" s="14"/>
      <c r="IK48" s="14"/>
      <c r="IL48" s="14"/>
      <c r="IM48" s="14"/>
      <c r="IN48" s="14"/>
      <c r="IO48" s="14"/>
      <c r="IP48" s="14"/>
      <c r="IQ48" s="14"/>
      <c r="IR48" s="14"/>
      <c r="IS48" s="14"/>
      <c r="IT48" s="14"/>
      <c r="IU48" s="14"/>
      <c r="IV48" s="14"/>
      <c r="IW48" s="14"/>
      <c r="IX48" s="14"/>
      <c r="IY48" s="14"/>
      <c r="IZ48" s="14"/>
      <c r="JA48" s="14"/>
      <c r="JB48" s="14"/>
      <c r="JC48" s="14"/>
      <c r="JD48" s="14"/>
      <c r="JE48" s="14"/>
      <c r="JF48" s="14"/>
      <c r="JG48" s="14"/>
      <c r="JH48" s="14"/>
      <c r="JI48" s="14"/>
      <c r="JJ48" s="14"/>
      <c r="JK48" s="14"/>
      <c r="JL48" s="14"/>
      <c r="JM48" s="14"/>
      <c r="JN48" s="14"/>
      <c r="JO48" s="14"/>
      <c r="JP48" s="14"/>
      <c r="JQ48" s="14"/>
      <c r="JR48" s="14"/>
      <c r="JS48" s="14"/>
      <c r="JT48" s="14"/>
      <c r="JU48" s="14"/>
      <c r="JV48" s="14"/>
      <c r="JW48" s="14"/>
      <c r="JX48" s="14"/>
      <c r="JY48" s="14"/>
      <c r="JZ48" s="14"/>
      <c r="KA48" s="14"/>
      <c r="KB48" s="14"/>
      <c r="KC48" s="14"/>
      <c r="KD48" s="14"/>
      <c r="KE48" s="14"/>
      <c r="KF48" s="14"/>
      <c r="KG48" s="14"/>
      <c r="KH48" s="14"/>
    </row>
    <row r="49" spans="1:294" s="31" customFormat="1" ht="27" hidden="1" customHeight="1">
      <c r="A49" s="92">
        <f>--SUBTOTAL(2,CC$12:CC49)</f>
        <v>37</v>
      </c>
      <c r="B49" s="733" t="str">
        <f>IF(FILIACIÓN!B47="","",UPPER(FILIACIÓN!B47))</f>
        <v/>
      </c>
      <c r="C49" s="734"/>
      <c r="D49" s="735"/>
      <c r="E49" s="465" t="str">
        <f>'ASISTENCIA 3'!CD50</f>
        <v/>
      </c>
      <c r="F49" s="544"/>
      <c r="G49" s="544"/>
      <c r="H49" s="544"/>
      <c r="I49" s="544"/>
      <c r="J49" s="544"/>
      <c r="K49" s="544"/>
      <c r="L49" s="544"/>
      <c r="M49" s="89"/>
      <c r="N49" s="89"/>
      <c r="O49" s="344" t="str">
        <f t="shared" si="0"/>
        <v/>
      </c>
      <c r="P49" s="59"/>
      <c r="Q49" s="120"/>
      <c r="R49" s="502"/>
      <c r="S49" s="502"/>
      <c r="T49" s="502"/>
      <c r="U49" s="502"/>
      <c r="V49" s="502"/>
      <c r="W49" s="502"/>
      <c r="X49" s="502"/>
      <c r="Y49" s="502"/>
      <c r="Z49" s="502"/>
      <c r="AA49" s="121"/>
      <c r="AB49" s="89"/>
      <c r="AC49" s="89"/>
      <c r="AD49" s="89"/>
      <c r="AE49" s="89"/>
      <c r="AF49" s="344" t="str">
        <f t="shared" si="1"/>
        <v/>
      </c>
      <c r="AG49" s="59"/>
      <c r="AH49" s="120"/>
      <c r="AI49" s="502"/>
      <c r="AJ49" s="502"/>
      <c r="AK49" s="502"/>
      <c r="AL49" s="502"/>
      <c r="AM49" s="502"/>
      <c r="AN49" s="502"/>
      <c r="AO49" s="502"/>
      <c r="AP49" s="502"/>
      <c r="AQ49" s="502"/>
      <c r="AR49" s="121"/>
      <c r="AS49" s="121"/>
      <c r="AT49" s="121"/>
      <c r="AU49" s="121"/>
      <c r="AV49" s="89"/>
      <c r="AW49" s="344" t="str">
        <f t="shared" si="2"/>
        <v/>
      </c>
      <c r="AX49" s="59"/>
      <c r="AY49" s="120"/>
      <c r="AZ49" s="502"/>
      <c r="BA49" s="502"/>
      <c r="BB49" s="502"/>
      <c r="BC49" s="502"/>
      <c r="BD49" s="502"/>
      <c r="BE49" s="502"/>
      <c r="BF49" s="502"/>
      <c r="BG49" s="89"/>
      <c r="BH49" s="89"/>
      <c r="BI49" s="344" t="str">
        <f t="shared" si="3"/>
        <v/>
      </c>
      <c r="BJ49" s="338"/>
      <c r="BK49" s="432"/>
      <c r="BL49" s="340"/>
      <c r="BM49" s="196" t="str">
        <f t="shared" si="4"/>
        <v/>
      </c>
      <c r="BN49" s="462" t="str">
        <f t="shared" si="5"/>
        <v/>
      </c>
      <c r="BO49" s="192" t="str">
        <f t="shared" si="6"/>
        <v xml:space="preserve"> </v>
      </c>
      <c r="BP49" s="460" t="str">
        <f>FILIACIÓN!Y47</f>
        <v/>
      </c>
      <c r="BQ49" s="460" t="str">
        <f t="shared" si="7"/>
        <v/>
      </c>
      <c r="BR49" s="460" t="str">
        <f t="shared" si="8"/>
        <v/>
      </c>
      <c r="BS49" s="460"/>
      <c r="BT49" s="425" t="str">
        <f>'1ER TRIMESTRE'!BM49</f>
        <v/>
      </c>
      <c r="BU49" s="425" t="str">
        <f>'2DO TRIMESTRE'!BM49</f>
        <v/>
      </c>
      <c r="BV49" s="425" t="str">
        <f t="shared" si="9"/>
        <v/>
      </c>
      <c r="BW49" s="82"/>
      <c r="BX49" s="82"/>
      <c r="BY49" s="82"/>
      <c r="BZ49" s="39"/>
      <c r="CA49" s="531" t="str">
        <f t="shared" si="10"/>
        <v/>
      </c>
      <c r="CB49" s="30" t="str">
        <f>IF(FILIACIÓN!Z47="MOSTRAR","1","")</f>
        <v/>
      </c>
      <c r="CC49" s="39">
        <v>37</v>
      </c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14"/>
      <c r="DQ49" s="14"/>
      <c r="DR49" s="14"/>
      <c r="DS49" s="14"/>
      <c r="DT49" s="14"/>
      <c r="DU49" s="14"/>
      <c r="DV49" s="14"/>
      <c r="DW49" s="14"/>
      <c r="DX49" s="14"/>
      <c r="DY49" s="14"/>
      <c r="DZ49" s="14"/>
      <c r="EA49" s="14"/>
      <c r="EB49" s="14"/>
      <c r="EC49" s="14"/>
      <c r="ED49" s="14"/>
      <c r="EE49" s="14"/>
      <c r="EF49" s="14"/>
      <c r="EG49" s="14"/>
      <c r="EH49" s="14"/>
      <c r="EI49" s="14"/>
      <c r="EJ49" s="14"/>
      <c r="EK49" s="14"/>
      <c r="EL49" s="14"/>
      <c r="EM49" s="14"/>
      <c r="EN49" s="14"/>
      <c r="EO49" s="14"/>
      <c r="EP49" s="14"/>
      <c r="EQ49" s="14"/>
      <c r="ER49" s="14"/>
      <c r="ES49" s="14"/>
      <c r="ET49" s="14"/>
      <c r="EU49" s="14"/>
      <c r="EV49" s="14"/>
      <c r="EW49" s="14"/>
      <c r="EX49" s="14"/>
      <c r="EY49" s="14"/>
      <c r="EZ49" s="14"/>
      <c r="FA49" s="14"/>
      <c r="FB49" s="14"/>
      <c r="FC49" s="14"/>
      <c r="FD49" s="14"/>
      <c r="FE49" s="14"/>
      <c r="FF49" s="14"/>
      <c r="FG49" s="14"/>
      <c r="FH49" s="14"/>
      <c r="FI49" s="14"/>
      <c r="FJ49" s="14"/>
      <c r="FK49" s="14"/>
      <c r="FL49" s="14"/>
      <c r="FM49" s="14"/>
      <c r="FN49" s="14"/>
      <c r="FO49" s="14"/>
      <c r="FP49" s="14"/>
      <c r="FQ49" s="14"/>
      <c r="FR49" s="14"/>
      <c r="FS49" s="14"/>
      <c r="FT49" s="14"/>
      <c r="FU49" s="14"/>
      <c r="FV49" s="14"/>
      <c r="FW49" s="14"/>
      <c r="FX49" s="14"/>
      <c r="FY49" s="14"/>
      <c r="FZ49" s="14"/>
      <c r="GA49" s="14"/>
      <c r="GB49" s="14"/>
      <c r="GC49" s="14"/>
      <c r="GD49" s="14"/>
      <c r="GE49" s="14"/>
      <c r="GF49" s="14"/>
      <c r="GG49" s="14"/>
      <c r="GH49" s="14"/>
      <c r="GI49" s="14"/>
      <c r="GJ49" s="14"/>
      <c r="GK49" s="14"/>
      <c r="GL49" s="14"/>
      <c r="GM49" s="14"/>
      <c r="GN49" s="14"/>
      <c r="GO49" s="14"/>
      <c r="GP49" s="14"/>
      <c r="GQ49" s="14"/>
      <c r="GR49" s="14"/>
      <c r="GS49" s="14"/>
      <c r="GT49" s="14"/>
      <c r="GU49" s="14"/>
      <c r="GV49" s="14"/>
      <c r="GW49" s="14"/>
      <c r="GX49" s="14"/>
      <c r="GY49" s="14"/>
      <c r="GZ49" s="14"/>
      <c r="HA49" s="14"/>
      <c r="HB49" s="14"/>
      <c r="HC49" s="14"/>
      <c r="HD49" s="14"/>
      <c r="HE49" s="14"/>
      <c r="HF49" s="14"/>
      <c r="HG49" s="14"/>
      <c r="HH49" s="14"/>
      <c r="HI49" s="14"/>
      <c r="HJ49" s="14"/>
      <c r="HK49" s="14"/>
      <c r="HL49" s="14"/>
      <c r="HM49" s="14"/>
      <c r="HN49" s="14"/>
      <c r="HO49" s="14"/>
      <c r="HP49" s="14"/>
      <c r="HQ49" s="14"/>
      <c r="HR49" s="14"/>
      <c r="HS49" s="14"/>
      <c r="HT49" s="14"/>
      <c r="HU49" s="14"/>
      <c r="HV49" s="14"/>
      <c r="HW49" s="14"/>
      <c r="HX49" s="14"/>
      <c r="HY49" s="14"/>
      <c r="HZ49" s="14"/>
      <c r="IA49" s="14"/>
      <c r="IB49" s="14"/>
      <c r="IC49" s="14"/>
      <c r="ID49" s="14"/>
      <c r="IE49" s="14"/>
      <c r="IF49" s="14"/>
      <c r="IG49" s="14"/>
      <c r="IH49" s="14"/>
      <c r="II49" s="14"/>
      <c r="IJ49" s="14"/>
      <c r="IK49" s="14"/>
      <c r="IL49" s="14"/>
      <c r="IM49" s="14"/>
      <c r="IN49" s="14"/>
      <c r="IO49" s="14"/>
      <c r="IP49" s="14"/>
      <c r="IQ49" s="14"/>
      <c r="IR49" s="14"/>
      <c r="IS49" s="14"/>
      <c r="IT49" s="14"/>
      <c r="IU49" s="14"/>
      <c r="IV49" s="14"/>
      <c r="IW49" s="14"/>
      <c r="IX49" s="14"/>
      <c r="IY49" s="14"/>
      <c r="IZ49" s="14"/>
      <c r="JA49" s="14"/>
      <c r="JB49" s="14"/>
      <c r="JC49" s="14"/>
      <c r="JD49" s="14"/>
      <c r="JE49" s="14"/>
      <c r="JF49" s="14"/>
      <c r="JG49" s="14"/>
      <c r="JH49" s="14"/>
      <c r="JI49" s="14"/>
      <c r="JJ49" s="14"/>
      <c r="JK49" s="14"/>
      <c r="JL49" s="14"/>
      <c r="JM49" s="14"/>
      <c r="JN49" s="14"/>
      <c r="JO49" s="14"/>
      <c r="JP49" s="14"/>
      <c r="JQ49" s="14"/>
      <c r="JR49" s="14"/>
      <c r="JS49" s="14"/>
      <c r="JT49" s="14"/>
      <c r="JU49" s="14"/>
      <c r="JV49" s="14"/>
      <c r="JW49" s="14"/>
      <c r="JX49" s="14"/>
      <c r="JY49" s="14"/>
      <c r="JZ49" s="14"/>
      <c r="KA49" s="14"/>
      <c r="KB49" s="14"/>
      <c r="KC49" s="14"/>
      <c r="KD49" s="14"/>
      <c r="KE49" s="14"/>
      <c r="KF49" s="14"/>
      <c r="KG49" s="14"/>
      <c r="KH49" s="14"/>
    </row>
    <row r="50" spans="1:294" s="31" customFormat="1" ht="27" hidden="1" customHeight="1">
      <c r="A50" s="92">
        <f>--SUBTOTAL(2,CC$12:CC50)</f>
        <v>38</v>
      </c>
      <c r="B50" s="733" t="str">
        <f>IF(FILIACIÓN!B48="","",UPPER(FILIACIÓN!B48))</f>
        <v/>
      </c>
      <c r="C50" s="734"/>
      <c r="D50" s="735"/>
      <c r="E50" s="465" t="str">
        <f>'ASISTENCIA 3'!CD51</f>
        <v/>
      </c>
      <c r="F50" s="544"/>
      <c r="G50" s="544"/>
      <c r="H50" s="544"/>
      <c r="I50" s="544"/>
      <c r="J50" s="544"/>
      <c r="K50" s="544"/>
      <c r="L50" s="544"/>
      <c r="M50" s="89"/>
      <c r="N50" s="89"/>
      <c r="O50" s="344" t="str">
        <f t="shared" si="0"/>
        <v/>
      </c>
      <c r="P50" s="59"/>
      <c r="Q50" s="120"/>
      <c r="R50" s="502"/>
      <c r="S50" s="502"/>
      <c r="T50" s="502"/>
      <c r="U50" s="502"/>
      <c r="V50" s="502"/>
      <c r="W50" s="502"/>
      <c r="X50" s="502"/>
      <c r="Y50" s="502"/>
      <c r="Z50" s="502"/>
      <c r="AA50" s="121"/>
      <c r="AB50" s="89"/>
      <c r="AC50" s="89"/>
      <c r="AD50" s="89"/>
      <c r="AE50" s="89"/>
      <c r="AF50" s="344" t="str">
        <f t="shared" si="1"/>
        <v/>
      </c>
      <c r="AG50" s="59"/>
      <c r="AH50" s="120"/>
      <c r="AI50" s="502"/>
      <c r="AJ50" s="502"/>
      <c r="AK50" s="502"/>
      <c r="AL50" s="502"/>
      <c r="AM50" s="502"/>
      <c r="AN50" s="502"/>
      <c r="AO50" s="502"/>
      <c r="AP50" s="502"/>
      <c r="AQ50" s="502"/>
      <c r="AR50" s="121"/>
      <c r="AS50" s="121"/>
      <c r="AT50" s="121"/>
      <c r="AU50" s="121"/>
      <c r="AV50" s="89"/>
      <c r="AW50" s="344" t="str">
        <f t="shared" si="2"/>
        <v/>
      </c>
      <c r="AX50" s="59"/>
      <c r="AY50" s="120"/>
      <c r="AZ50" s="502"/>
      <c r="BA50" s="502"/>
      <c r="BB50" s="502"/>
      <c r="BC50" s="502"/>
      <c r="BD50" s="502"/>
      <c r="BE50" s="502"/>
      <c r="BF50" s="502"/>
      <c r="BG50" s="89"/>
      <c r="BH50" s="89"/>
      <c r="BI50" s="344" t="str">
        <f t="shared" si="3"/>
        <v/>
      </c>
      <c r="BJ50" s="338"/>
      <c r="BK50" s="432"/>
      <c r="BL50" s="340"/>
      <c r="BM50" s="196" t="str">
        <f t="shared" si="4"/>
        <v/>
      </c>
      <c r="BN50" s="462" t="str">
        <f t="shared" si="5"/>
        <v/>
      </c>
      <c r="BO50" s="192" t="str">
        <f t="shared" si="6"/>
        <v xml:space="preserve"> </v>
      </c>
      <c r="BP50" s="460" t="str">
        <f>FILIACIÓN!Y48</f>
        <v/>
      </c>
      <c r="BQ50" s="460" t="str">
        <f t="shared" si="7"/>
        <v/>
      </c>
      <c r="BR50" s="460" t="str">
        <f t="shared" si="8"/>
        <v/>
      </c>
      <c r="BS50" s="460"/>
      <c r="BT50" s="425" t="str">
        <f>'1ER TRIMESTRE'!BM50</f>
        <v/>
      </c>
      <c r="BU50" s="425" t="str">
        <f>'2DO TRIMESTRE'!BM50</f>
        <v/>
      </c>
      <c r="BV50" s="425" t="str">
        <f t="shared" si="9"/>
        <v/>
      </c>
      <c r="BW50" s="82"/>
      <c r="BX50" s="82"/>
      <c r="BY50" s="82"/>
      <c r="BZ50" s="39"/>
      <c r="CA50" s="531" t="str">
        <f t="shared" si="10"/>
        <v/>
      </c>
      <c r="CB50" s="30" t="str">
        <f>IF(FILIACIÓN!Z48="MOSTRAR","1","")</f>
        <v/>
      </c>
      <c r="CC50" s="39">
        <v>38</v>
      </c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  <c r="IV50" s="14"/>
      <c r="IW50" s="14"/>
      <c r="IX50" s="14"/>
      <c r="IY50" s="14"/>
      <c r="IZ50" s="14"/>
      <c r="JA50" s="14"/>
      <c r="JB50" s="14"/>
      <c r="JC50" s="14"/>
      <c r="JD50" s="14"/>
      <c r="JE50" s="14"/>
      <c r="JF50" s="14"/>
      <c r="JG50" s="14"/>
      <c r="JH50" s="14"/>
      <c r="JI50" s="14"/>
      <c r="JJ50" s="14"/>
      <c r="JK50" s="14"/>
      <c r="JL50" s="14"/>
      <c r="JM50" s="14"/>
      <c r="JN50" s="14"/>
      <c r="JO50" s="14"/>
      <c r="JP50" s="14"/>
      <c r="JQ50" s="14"/>
      <c r="JR50" s="14"/>
      <c r="JS50" s="14"/>
      <c r="JT50" s="14"/>
      <c r="JU50" s="14"/>
      <c r="JV50" s="14"/>
      <c r="JW50" s="14"/>
      <c r="JX50" s="14"/>
      <c r="JY50" s="14"/>
      <c r="JZ50" s="14"/>
      <c r="KA50" s="14"/>
      <c r="KB50" s="14"/>
      <c r="KC50" s="14"/>
      <c r="KD50" s="14"/>
      <c r="KE50" s="14"/>
      <c r="KF50" s="14"/>
      <c r="KG50" s="14"/>
      <c r="KH50" s="14"/>
    </row>
    <row r="51" spans="1:294" s="31" customFormat="1" ht="27" hidden="1" customHeight="1">
      <c r="A51" s="92">
        <f>--SUBTOTAL(2,CC$12:CC51)</f>
        <v>39</v>
      </c>
      <c r="B51" s="733" t="str">
        <f>IF(FILIACIÓN!B49="","",UPPER(FILIACIÓN!B49))</f>
        <v/>
      </c>
      <c r="C51" s="734"/>
      <c r="D51" s="735"/>
      <c r="E51" s="465" t="str">
        <f>'ASISTENCIA 3'!CD52</f>
        <v/>
      </c>
      <c r="F51" s="544"/>
      <c r="G51" s="544"/>
      <c r="H51" s="544"/>
      <c r="I51" s="544"/>
      <c r="J51" s="544"/>
      <c r="K51" s="544"/>
      <c r="L51" s="544"/>
      <c r="M51" s="89"/>
      <c r="N51" s="89"/>
      <c r="O51" s="344" t="str">
        <f t="shared" si="0"/>
        <v/>
      </c>
      <c r="P51" s="59"/>
      <c r="Q51" s="120"/>
      <c r="R51" s="502"/>
      <c r="S51" s="502"/>
      <c r="T51" s="502"/>
      <c r="U51" s="502"/>
      <c r="V51" s="502"/>
      <c r="W51" s="502"/>
      <c r="X51" s="502"/>
      <c r="Y51" s="502"/>
      <c r="Z51" s="502"/>
      <c r="AA51" s="121"/>
      <c r="AB51" s="89"/>
      <c r="AC51" s="89"/>
      <c r="AD51" s="89"/>
      <c r="AE51" s="89"/>
      <c r="AF51" s="344" t="str">
        <f t="shared" si="1"/>
        <v/>
      </c>
      <c r="AG51" s="59"/>
      <c r="AH51" s="120"/>
      <c r="AI51" s="502"/>
      <c r="AJ51" s="502"/>
      <c r="AK51" s="502"/>
      <c r="AL51" s="502"/>
      <c r="AM51" s="502"/>
      <c r="AN51" s="502"/>
      <c r="AO51" s="502"/>
      <c r="AP51" s="502"/>
      <c r="AQ51" s="502"/>
      <c r="AR51" s="121"/>
      <c r="AS51" s="121"/>
      <c r="AT51" s="121"/>
      <c r="AU51" s="121"/>
      <c r="AV51" s="89"/>
      <c r="AW51" s="344" t="str">
        <f t="shared" si="2"/>
        <v/>
      </c>
      <c r="AX51" s="59"/>
      <c r="AY51" s="120"/>
      <c r="AZ51" s="502"/>
      <c r="BA51" s="502"/>
      <c r="BB51" s="502"/>
      <c r="BC51" s="502"/>
      <c r="BD51" s="502"/>
      <c r="BE51" s="502"/>
      <c r="BF51" s="502"/>
      <c r="BG51" s="89"/>
      <c r="BH51" s="89"/>
      <c r="BI51" s="344" t="str">
        <f t="shared" si="3"/>
        <v/>
      </c>
      <c r="BJ51" s="338"/>
      <c r="BK51" s="432"/>
      <c r="BL51" s="340"/>
      <c r="BM51" s="196" t="str">
        <f t="shared" si="4"/>
        <v/>
      </c>
      <c r="BN51" s="462" t="str">
        <f t="shared" si="5"/>
        <v/>
      </c>
      <c r="BO51" s="192" t="str">
        <f t="shared" si="6"/>
        <v xml:space="preserve"> </v>
      </c>
      <c r="BP51" s="460" t="str">
        <f>FILIACIÓN!Y49</f>
        <v/>
      </c>
      <c r="BQ51" s="460" t="str">
        <f t="shared" si="7"/>
        <v/>
      </c>
      <c r="BR51" s="460" t="str">
        <f t="shared" si="8"/>
        <v/>
      </c>
      <c r="BS51" s="460"/>
      <c r="BT51" s="425" t="str">
        <f>'1ER TRIMESTRE'!BM51</f>
        <v/>
      </c>
      <c r="BU51" s="425" t="str">
        <f>'2DO TRIMESTRE'!BM51</f>
        <v/>
      </c>
      <c r="BV51" s="425" t="str">
        <f t="shared" si="9"/>
        <v/>
      </c>
      <c r="BW51" s="82"/>
      <c r="BX51" s="82"/>
      <c r="BY51" s="82"/>
      <c r="BZ51" s="39"/>
      <c r="CA51" s="531" t="str">
        <f t="shared" si="10"/>
        <v/>
      </c>
      <c r="CB51" s="30" t="str">
        <f>IF(FILIACIÓN!Z49="MOSTRAR","1","")</f>
        <v/>
      </c>
      <c r="CC51" s="39">
        <v>39</v>
      </c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  <c r="IT51" s="14"/>
      <c r="IU51" s="14"/>
      <c r="IV51" s="14"/>
      <c r="IW51" s="14"/>
      <c r="IX51" s="14"/>
      <c r="IY51" s="14"/>
      <c r="IZ51" s="14"/>
      <c r="JA51" s="14"/>
      <c r="JB51" s="14"/>
      <c r="JC51" s="14"/>
      <c r="JD51" s="14"/>
      <c r="JE51" s="14"/>
      <c r="JF51" s="14"/>
      <c r="JG51" s="14"/>
      <c r="JH51" s="14"/>
      <c r="JI51" s="14"/>
      <c r="JJ51" s="14"/>
      <c r="JK51" s="14"/>
      <c r="JL51" s="14"/>
      <c r="JM51" s="14"/>
      <c r="JN51" s="14"/>
      <c r="JO51" s="14"/>
      <c r="JP51" s="14"/>
      <c r="JQ51" s="14"/>
      <c r="JR51" s="14"/>
      <c r="JS51" s="14"/>
      <c r="JT51" s="14"/>
      <c r="JU51" s="14"/>
      <c r="JV51" s="14"/>
      <c r="JW51" s="14"/>
      <c r="JX51" s="14"/>
      <c r="JY51" s="14"/>
      <c r="JZ51" s="14"/>
      <c r="KA51" s="14"/>
      <c r="KB51" s="14"/>
      <c r="KC51" s="14"/>
      <c r="KD51" s="14"/>
      <c r="KE51" s="14"/>
      <c r="KF51" s="14"/>
      <c r="KG51" s="14"/>
      <c r="KH51" s="14"/>
    </row>
    <row r="52" spans="1:294" s="31" customFormat="1" ht="27" hidden="1" customHeight="1">
      <c r="A52" s="92">
        <f>--SUBTOTAL(2,CC$12:CC52)</f>
        <v>40</v>
      </c>
      <c r="B52" s="733" t="str">
        <f>IF(FILIACIÓN!B50="","",UPPER(FILIACIÓN!B50))</f>
        <v/>
      </c>
      <c r="C52" s="734"/>
      <c r="D52" s="735"/>
      <c r="E52" s="465" t="str">
        <f>'ASISTENCIA 3'!CD53</f>
        <v/>
      </c>
      <c r="F52" s="544"/>
      <c r="G52" s="544"/>
      <c r="H52" s="544"/>
      <c r="I52" s="544"/>
      <c r="J52" s="544"/>
      <c r="K52" s="544"/>
      <c r="L52" s="544"/>
      <c r="M52" s="89"/>
      <c r="N52" s="89"/>
      <c r="O52" s="344" t="str">
        <f t="shared" si="0"/>
        <v/>
      </c>
      <c r="P52" s="59"/>
      <c r="Q52" s="120"/>
      <c r="R52" s="502"/>
      <c r="S52" s="502"/>
      <c r="T52" s="502"/>
      <c r="U52" s="502"/>
      <c r="V52" s="502"/>
      <c r="W52" s="502"/>
      <c r="X52" s="502"/>
      <c r="Y52" s="502"/>
      <c r="Z52" s="502"/>
      <c r="AA52" s="121"/>
      <c r="AB52" s="89"/>
      <c r="AC52" s="89"/>
      <c r="AD52" s="89"/>
      <c r="AE52" s="89"/>
      <c r="AF52" s="344" t="str">
        <f t="shared" si="1"/>
        <v/>
      </c>
      <c r="AG52" s="59"/>
      <c r="AH52" s="120"/>
      <c r="AI52" s="502"/>
      <c r="AJ52" s="502"/>
      <c r="AK52" s="502"/>
      <c r="AL52" s="502"/>
      <c r="AM52" s="502"/>
      <c r="AN52" s="502"/>
      <c r="AO52" s="502"/>
      <c r="AP52" s="502"/>
      <c r="AQ52" s="502"/>
      <c r="AR52" s="121"/>
      <c r="AS52" s="121"/>
      <c r="AT52" s="121"/>
      <c r="AU52" s="121"/>
      <c r="AV52" s="89"/>
      <c r="AW52" s="344" t="str">
        <f t="shared" si="2"/>
        <v/>
      </c>
      <c r="AX52" s="59"/>
      <c r="AY52" s="120"/>
      <c r="AZ52" s="502"/>
      <c r="BA52" s="502"/>
      <c r="BB52" s="502"/>
      <c r="BC52" s="502"/>
      <c r="BD52" s="502"/>
      <c r="BE52" s="502"/>
      <c r="BF52" s="502"/>
      <c r="BG52" s="89"/>
      <c r="BH52" s="89"/>
      <c r="BI52" s="344" t="str">
        <f t="shared" si="3"/>
        <v/>
      </c>
      <c r="BJ52" s="338"/>
      <c r="BK52" s="432"/>
      <c r="BL52" s="340"/>
      <c r="BM52" s="196" t="str">
        <f t="shared" si="4"/>
        <v/>
      </c>
      <c r="BN52" s="462" t="str">
        <f t="shared" si="5"/>
        <v/>
      </c>
      <c r="BO52" s="192" t="str">
        <f t="shared" si="6"/>
        <v xml:space="preserve"> </v>
      </c>
      <c r="BP52" s="460" t="str">
        <f>FILIACIÓN!Y50</f>
        <v/>
      </c>
      <c r="BQ52" s="460" t="str">
        <f t="shared" si="7"/>
        <v/>
      </c>
      <c r="BR52" s="460" t="str">
        <f t="shared" si="8"/>
        <v/>
      </c>
      <c r="BS52" s="460"/>
      <c r="BT52" s="425" t="str">
        <f>'1ER TRIMESTRE'!BM52</f>
        <v/>
      </c>
      <c r="BU52" s="425" t="str">
        <f>'2DO TRIMESTRE'!BM52</f>
        <v/>
      </c>
      <c r="BV52" s="425" t="str">
        <f t="shared" si="9"/>
        <v/>
      </c>
      <c r="BW52" s="82"/>
      <c r="BX52" s="82"/>
      <c r="BY52" s="82"/>
      <c r="BZ52" s="39"/>
      <c r="CA52" s="531" t="str">
        <f t="shared" si="10"/>
        <v/>
      </c>
      <c r="CB52" s="30" t="str">
        <f>IF(FILIACIÓN!Z50="MOSTRAR","1","")</f>
        <v/>
      </c>
      <c r="CC52" s="39">
        <v>40</v>
      </c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14"/>
      <c r="DQ52" s="14"/>
      <c r="DR52" s="14"/>
      <c r="DS52" s="14"/>
      <c r="DT52" s="14"/>
      <c r="DU52" s="14"/>
      <c r="DV52" s="14"/>
      <c r="DW52" s="14"/>
      <c r="DX52" s="14"/>
      <c r="DY52" s="14"/>
      <c r="DZ52" s="14"/>
      <c r="EA52" s="14"/>
      <c r="EB52" s="14"/>
      <c r="EC52" s="14"/>
      <c r="ED52" s="14"/>
      <c r="EE52" s="14"/>
      <c r="EF52" s="14"/>
      <c r="EG52" s="14"/>
      <c r="EH52" s="14"/>
      <c r="EI52" s="14"/>
      <c r="EJ52" s="14"/>
      <c r="EK52" s="14"/>
      <c r="EL52" s="14"/>
      <c r="EM52" s="14"/>
      <c r="EN52" s="14"/>
      <c r="EO52" s="14"/>
      <c r="EP52" s="14"/>
      <c r="EQ52" s="14"/>
      <c r="ER52" s="14"/>
      <c r="ES52" s="14"/>
      <c r="ET52" s="14"/>
      <c r="EU52" s="14"/>
      <c r="EV52" s="14"/>
      <c r="EW52" s="14"/>
      <c r="EX52" s="14"/>
      <c r="EY52" s="14"/>
      <c r="EZ52" s="14"/>
      <c r="FA52" s="14"/>
      <c r="FB52" s="14"/>
      <c r="FC52" s="14"/>
      <c r="FD52" s="14"/>
      <c r="FE52" s="14"/>
      <c r="FF52" s="14"/>
      <c r="FG52" s="14"/>
      <c r="FH52" s="14"/>
      <c r="FI52" s="14"/>
      <c r="FJ52" s="14"/>
      <c r="FK52" s="14"/>
      <c r="FL52" s="14"/>
      <c r="FM52" s="14"/>
      <c r="FN52" s="14"/>
      <c r="FO52" s="14"/>
      <c r="FP52" s="14"/>
      <c r="FQ52" s="14"/>
      <c r="FR52" s="14"/>
      <c r="FS52" s="14"/>
      <c r="FT52" s="14"/>
      <c r="FU52" s="14"/>
      <c r="FV52" s="14"/>
      <c r="FW52" s="14"/>
      <c r="FX52" s="14"/>
      <c r="FY52" s="14"/>
      <c r="FZ52" s="14"/>
      <c r="GA52" s="14"/>
      <c r="GB52" s="14"/>
      <c r="GC52" s="14"/>
      <c r="GD52" s="14"/>
      <c r="GE52" s="14"/>
      <c r="GF52" s="14"/>
      <c r="GG52" s="14"/>
      <c r="GH52" s="14"/>
      <c r="GI52" s="14"/>
      <c r="GJ52" s="14"/>
      <c r="GK52" s="14"/>
      <c r="GL52" s="14"/>
      <c r="GM52" s="14"/>
      <c r="GN52" s="14"/>
      <c r="GO52" s="14"/>
      <c r="GP52" s="14"/>
      <c r="GQ52" s="14"/>
      <c r="GR52" s="14"/>
      <c r="GS52" s="14"/>
      <c r="GT52" s="14"/>
      <c r="GU52" s="14"/>
      <c r="GV52" s="14"/>
      <c r="GW52" s="14"/>
      <c r="GX52" s="14"/>
      <c r="GY52" s="14"/>
      <c r="GZ52" s="14"/>
      <c r="HA52" s="14"/>
      <c r="HB52" s="14"/>
      <c r="HC52" s="14"/>
      <c r="HD52" s="14"/>
      <c r="HE52" s="14"/>
      <c r="HF52" s="14"/>
      <c r="HG52" s="14"/>
      <c r="HH52" s="14"/>
      <c r="HI52" s="14"/>
      <c r="HJ52" s="14"/>
      <c r="HK52" s="14"/>
      <c r="HL52" s="14"/>
      <c r="HM52" s="14"/>
      <c r="HN52" s="14"/>
      <c r="HO52" s="14"/>
      <c r="HP52" s="14"/>
      <c r="HQ52" s="14"/>
      <c r="HR52" s="14"/>
      <c r="HS52" s="14"/>
      <c r="HT52" s="14"/>
      <c r="HU52" s="14"/>
      <c r="HV52" s="14"/>
      <c r="HW52" s="14"/>
      <c r="HX52" s="14"/>
      <c r="HY52" s="14"/>
      <c r="HZ52" s="14"/>
      <c r="IA52" s="14"/>
      <c r="IB52" s="14"/>
      <c r="IC52" s="14"/>
      <c r="ID52" s="14"/>
      <c r="IE52" s="14"/>
      <c r="IF52" s="14"/>
      <c r="IG52" s="14"/>
      <c r="IH52" s="14"/>
      <c r="II52" s="14"/>
      <c r="IJ52" s="14"/>
      <c r="IK52" s="14"/>
      <c r="IL52" s="14"/>
      <c r="IM52" s="14"/>
      <c r="IN52" s="14"/>
      <c r="IO52" s="14"/>
      <c r="IP52" s="14"/>
      <c r="IQ52" s="14"/>
      <c r="IR52" s="14"/>
      <c r="IS52" s="14"/>
      <c r="IT52" s="14"/>
      <c r="IU52" s="14"/>
      <c r="IV52" s="14"/>
      <c r="IW52" s="14"/>
      <c r="IX52" s="14"/>
      <c r="IY52" s="14"/>
      <c r="IZ52" s="14"/>
      <c r="JA52" s="14"/>
      <c r="JB52" s="14"/>
      <c r="JC52" s="14"/>
      <c r="JD52" s="14"/>
      <c r="JE52" s="14"/>
      <c r="JF52" s="14"/>
      <c r="JG52" s="14"/>
      <c r="JH52" s="14"/>
      <c r="JI52" s="14"/>
      <c r="JJ52" s="14"/>
      <c r="JK52" s="14"/>
      <c r="JL52" s="14"/>
      <c r="JM52" s="14"/>
      <c r="JN52" s="14"/>
      <c r="JO52" s="14"/>
      <c r="JP52" s="14"/>
      <c r="JQ52" s="14"/>
      <c r="JR52" s="14"/>
      <c r="JS52" s="14"/>
      <c r="JT52" s="14"/>
      <c r="JU52" s="14"/>
      <c r="JV52" s="14"/>
      <c r="JW52" s="14"/>
      <c r="JX52" s="14"/>
      <c r="JY52" s="14"/>
      <c r="JZ52" s="14"/>
      <c r="KA52" s="14"/>
      <c r="KB52" s="14"/>
      <c r="KC52" s="14"/>
      <c r="KD52" s="14"/>
      <c r="KE52" s="14"/>
      <c r="KF52" s="14"/>
      <c r="KG52" s="14"/>
      <c r="KH52" s="14"/>
    </row>
    <row r="53" spans="1:294" s="31" customFormat="1" ht="27" hidden="1" customHeight="1">
      <c r="A53" s="92">
        <f>--SUBTOTAL(2,CC$12:CC53)</f>
        <v>41</v>
      </c>
      <c r="B53" s="733" t="str">
        <f>IF(FILIACIÓN!B51="","",UPPER(FILIACIÓN!B51))</f>
        <v/>
      </c>
      <c r="C53" s="734"/>
      <c r="D53" s="735"/>
      <c r="E53" s="465" t="str">
        <f>'ASISTENCIA 3'!CD54</f>
        <v/>
      </c>
      <c r="F53" s="544"/>
      <c r="G53" s="544"/>
      <c r="H53" s="544"/>
      <c r="I53" s="544"/>
      <c r="J53" s="544"/>
      <c r="K53" s="544"/>
      <c r="L53" s="544"/>
      <c r="M53" s="89"/>
      <c r="N53" s="89"/>
      <c r="O53" s="344" t="str">
        <f t="shared" si="0"/>
        <v/>
      </c>
      <c r="P53" s="59"/>
      <c r="Q53" s="120"/>
      <c r="R53" s="502"/>
      <c r="S53" s="502"/>
      <c r="T53" s="502"/>
      <c r="U53" s="502"/>
      <c r="V53" s="502"/>
      <c r="W53" s="502"/>
      <c r="X53" s="502"/>
      <c r="Y53" s="502"/>
      <c r="Z53" s="502"/>
      <c r="AA53" s="121"/>
      <c r="AB53" s="89"/>
      <c r="AC53" s="89"/>
      <c r="AD53" s="89"/>
      <c r="AE53" s="89"/>
      <c r="AF53" s="344" t="str">
        <f t="shared" si="1"/>
        <v/>
      </c>
      <c r="AG53" s="59"/>
      <c r="AH53" s="120"/>
      <c r="AI53" s="502"/>
      <c r="AJ53" s="502"/>
      <c r="AK53" s="502"/>
      <c r="AL53" s="502"/>
      <c r="AM53" s="502"/>
      <c r="AN53" s="502"/>
      <c r="AO53" s="502"/>
      <c r="AP53" s="502"/>
      <c r="AQ53" s="502"/>
      <c r="AR53" s="121"/>
      <c r="AS53" s="121"/>
      <c r="AT53" s="121"/>
      <c r="AU53" s="121"/>
      <c r="AV53" s="89"/>
      <c r="AW53" s="344" t="str">
        <f t="shared" si="2"/>
        <v/>
      </c>
      <c r="AX53" s="59"/>
      <c r="AY53" s="120"/>
      <c r="AZ53" s="502"/>
      <c r="BA53" s="502"/>
      <c r="BB53" s="502"/>
      <c r="BC53" s="502"/>
      <c r="BD53" s="502"/>
      <c r="BE53" s="502"/>
      <c r="BF53" s="502"/>
      <c r="BG53" s="89"/>
      <c r="BH53" s="89"/>
      <c r="BI53" s="344" t="str">
        <f t="shared" si="3"/>
        <v/>
      </c>
      <c r="BJ53" s="338"/>
      <c r="BK53" s="432"/>
      <c r="BL53" s="340"/>
      <c r="BM53" s="196" t="str">
        <f t="shared" si="4"/>
        <v/>
      </c>
      <c r="BN53" s="462" t="str">
        <f t="shared" si="5"/>
        <v/>
      </c>
      <c r="BO53" s="192" t="str">
        <f t="shared" si="6"/>
        <v xml:space="preserve"> </v>
      </c>
      <c r="BP53" s="460" t="str">
        <f>FILIACIÓN!Y51</f>
        <v/>
      </c>
      <c r="BQ53" s="460" t="str">
        <f t="shared" si="7"/>
        <v/>
      </c>
      <c r="BR53" s="460" t="str">
        <f t="shared" si="8"/>
        <v/>
      </c>
      <c r="BS53" s="460"/>
      <c r="BT53" s="425" t="str">
        <f>'1ER TRIMESTRE'!BM53</f>
        <v/>
      </c>
      <c r="BU53" s="425" t="str">
        <f>'2DO TRIMESTRE'!BM53</f>
        <v/>
      </c>
      <c r="BV53" s="425" t="str">
        <f t="shared" si="9"/>
        <v/>
      </c>
      <c r="BW53" s="82"/>
      <c r="BX53" s="82"/>
      <c r="BY53" s="82"/>
      <c r="BZ53" s="39"/>
      <c r="CA53" s="531" t="str">
        <f t="shared" si="10"/>
        <v/>
      </c>
      <c r="CB53" s="30" t="str">
        <f>IF(FILIACIÓN!Z51="MOSTRAR","1","")</f>
        <v/>
      </c>
      <c r="CC53" s="39">
        <v>41</v>
      </c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  <c r="IW53" s="14"/>
      <c r="IX53" s="14"/>
      <c r="IY53" s="14"/>
      <c r="IZ53" s="14"/>
      <c r="JA53" s="14"/>
      <c r="JB53" s="14"/>
      <c r="JC53" s="14"/>
      <c r="JD53" s="14"/>
      <c r="JE53" s="14"/>
      <c r="JF53" s="14"/>
      <c r="JG53" s="14"/>
      <c r="JH53" s="14"/>
      <c r="JI53" s="14"/>
      <c r="JJ53" s="14"/>
      <c r="JK53" s="14"/>
      <c r="JL53" s="14"/>
      <c r="JM53" s="14"/>
      <c r="JN53" s="14"/>
      <c r="JO53" s="14"/>
      <c r="JP53" s="14"/>
      <c r="JQ53" s="14"/>
      <c r="JR53" s="14"/>
      <c r="JS53" s="14"/>
      <c r="JT53" s="14"/>
      <c r="JU53" s="14"/>
      <c r="JV53" s="14"/>
      <c r="JW53" s="14"/>
      <c r="JX53" s="14"/>
      <c r="JY53" s="14"/>
      <c r="JZ53" s="14"/>
      <c r="KA53" s="14"/>
      <c r="KB53" s="14"/>
      <c r="KC53" s="14"/>
      <c r="KD53" s="14"/>
      <c r="KE53" s="14"/>
      <c r="KF53" s="14"/>
      <c r="KG53" s="14"/>
      <c r="KH53" s="14"/>
    </row>
    <row r="54" spans="1:294" s="31" customFormat="1" ht="27" hidden="1" customHeight="1">
      <c r="A54" s="92">
        <f>--SUBTOTAL(2,CC$12:CC54)</f>
        <v>42</v>
      </c>
      <c r="B54" s="733" t="str">
        <f>IF(FILIACIÓN!B52="","",UPPER(FILIACIÓN!B52))</f>
        <v/>
      </c>
      <c r="C54" s="734"/>
      <c r="D54" s="735"/>
      <c r="E54" s="465" t="str">
        <f>'ASISTENCIA 3'!CD55</f>
        <v/>
      </c>
      <c r="F54" s="544"/>
      <c r="G54" s="544"/>
      <c r="H54" s="544"/>
      <c r="I54" s="544"/>
      <c r="J54" s="544"/>
      <c r="K54" s="544"/>
      <c r="L54" s="544"/>
      <c r="M54" s="89"/>
      <c r="N54" s="89"/>
      <c r="O54" s="344" t="str">
        <f t="shared" si="0"/>
        <v/>
      </c>
      <c r="P54" s="59"/>
      <c r="Q54" s="120"/>
      <c r="R54" s="502"/>
      <c r="S54" s="502"/>
      <c r="T54" s="502"/>
      <c r="U54" s="502"/>
      <c r="V54" s="502"/>
      <c r="W54" s="502"/>
      <c r="X54" s="502"/>
      <c r="Y54" s="502"/>
      <c r="Z54" s="502"/>
      <c r="AA54" s="121"/>
      <c r="AB54" s="89"/>
      <c r="AC54" s="89"/>
      <c r="AD54" s="89"/>
      <c r="AE54" s="89"/>
      <c r="AF54" s="344" t="str">
        <f t="shared" si="1"/>
        <v/>
      </c>
      <c r="AG54" s="59"/>
      <c r="AH54" s="120"/>
      <c r="AI54" s="502"/>
      <c r="AJ54" s="502"/>
      <c r="AK54" s="502"/>
      <c r="AL54" s="502"/>
      <c r="AM54" s="502"/>
      <c r="AN54" s="502"/>
      <c r="AO54" s="502"/>
      <c r="AP54" s="502"/>
      <c r="AQ54" s="502"/>
      <c r="AR54" s="121"/>
      <c r="AS54" s="121"/>
      <c r="AT54" s="121"/>
      <c r="AU54" s="121"/>
      <c r="AV54" s="89"/>
      <c r="AW54" s="344" t="str">
        <f t="shared" si="2"/>
        <v/>
      </c>
      <c r="AX54" s="59"/>
      <c r="AY54" s="120"/>
      <c r="AZ54" s="502"/>
      <c r="BA54" s="502"/>
      <c r="BB54" s="502"/>
      <c r="BC54" s="502"/>
      <c r="BD54" s="502"/>
      <c r="BE54" s="502"/>
      <c r="BF54" s="502"/>
      <c r="BG54" s="89"/>
      <c r="BH54" s="89"/>
      <c r="BI54" s="344" t="str">
        <f t="shared" si="3"/>
        <v/>
      </c>
      <c r="BJ54" s="338"/>
      <c r="BK54" s="432"/>
      <c r="BL54" s="340"/>
      <c r="BM54" s="196" t="str">
        <f t="shared" si="4"/>
        <v/>
      </c>
      <c r="BN54" s="462" t="str">
        <f t="shared" si="5"/>
        <v/>
      </c>
      <c r="BO54" s="192" t="str">
        <f t="shared" si="6"/>
        <v xml:space="preserve"> </v>
      </c>
      <c r="BP54" s="460" t="str">
        <f>FILIACIÓN!Y52</f>
        <v/>
      </c>
      <c r="BQ54" s="460" t="str">
        <f t="shared" si="7"/>
        <v/>
      </c>
      <c r="BR54" s="460" t="str">
        <f t="shared" si="8"/>
        <v/>
      </c>
      <c r="BS54" s="460"/>
      <c r="BT54" s="425" t="str">
        <f>'1ER TRIMESTRE'!BM54</f>
        <v/>
      </c>
      <c r="BU54" s="425" t="str">
        <f>'2DO TRIMESTRE'!BM54</f>
        <v/>
      </c>
      <c r="BV54" s="425" t="str">
        <f t="shared" si="9"/>
        <v/>
      </c>
      <c r="BW54" s="82"/>
      <c r="BX54" s="82"/>
      <c r="BY54" s="82"/>
      <c r="BZ54" s="39"/>
      <c r="CA54" s="531" t="str">
        <f t="shared" si="10"/>
        <v/>
      </c>
      <c r="CB54" s="30" t="str">
        <f>IF(FILIACIÓN!Z52="MOSTRAR","1","")</f>
        <v/>
      </c>
      <c r="CC54" s="39">
        <v>42</v>
      </c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14"/>
      <c r="DQ54" s="14"/>
      <c r="DR54" s="14"/>
      <c r="DS54" s="14"/>
      <c r="DT54" s="14"/>
      <c r="DU54" s="14"/>
      <c r="DV54" s="14"/>
      <c r="DW54" s="14"/>
      <c r="DX54" s="14"/>
      <c r="DY54" s="14"/>
      <c r="DZ54" s="14"/>
      <c r="EA54" s="14"/>
      <c r="EB54" s="14"/>
      <c r="EC54" s="14"/>
      <c r="ED54" s="14"/>
      <c r="EE54" s="14"/>
      <c r="EF54" s="14"/>
      <c r="EG54" s="14"/>
      <c r="EH54" s="14"/>
      <c r="EI54" s="14"/>
      <c r="EJ54" s="14"/>
      <c r="EK54" s="14"/>
      <c r="EL54" s="14"/>
      <c r="EM54" s="14"/>
      <c r="EN54" s="14"/>
      <c r="EO54" s="14"/>
      <c r="EP54" s="14"/>
      <c r="EQ54" s="14"/>
      <c r="ER54" s="14"/>
      <c r="ES54" s="14"/>
      <c r="ET54" s="14"/>
      <c r="EU54" s="14"/>
      <c r="EV54" s="14"/>
      <c r="EW54" s="14"/>
      <c r="EX54" s="14"/>
      <c r="EY54" s="14"/>
      <c r="EZ54" s="14"/>
      <c r="FA54" s="14"/>
      <c r="FB54" s="14"/>
      <c r="FC54" s="14"/>
      <c r="FD54" s="14"/>
      <c r="FE54" s="14"/>
      <c r="FF54" s="14"/>
      <c r="FG54" s="14"/>
      <c r="FH54" s="14"/>
      <c r="FI54" s="14"/>
      <c r="FJ54" s="14"/>
      <c r="FK54" s="14"/>
      <c r="FL54" s="14"/>
      <c r="FM54" s="14"/>
      <c r="FN54" s="14"/>
      <c r="FO54" s="14"/>
      <c r="FP54" s="14"/>
      <c r="FQ54" s="14"/>
      <c r="FR54" s="14"/>
      <c r="FS54" s="14"/>
      <c r="FT54" s="14"/>
      <c r="FU54" s="14"/>
      <c r="FV54" s="14"/>
      <c r="FW54" s="14"/>
      <c r="FX54" s="14"/>
      <c r="FY54" s="14"/>
      <c r="FZ54" s="14"/>
      <c r="GA54" s="14"/>
      <c r="GB54" s="14"/>
      <c r="GC54" s="14"/>
      <c r="GD54" s="14"/>
      <c r="GE54" s="14"/>
      <c r="GF54" s="14"/>
      <c r="GG54" s="14"/>
      <c r="GH54" s="14"/>
      <c r="GI54" s="14"/>
      <c r="GJ54" s="14"/>
      <c r="GK54" s="14"/>
      <c r="GL54" s="14"/>
      <c r="GM54" s="14"/>
      <c r="GN54" s="14"/>
      <c r="GO54" s="14"/>
      <c r="GP54" s="14"/>
      <c r="GQ54" s="14"/>
      <c r="GR54" s="14"/>
      <c r="GS54" s="14"/>
      <c r="GT54" s="14"/>
      <c r="GU54" s="14"/>
      <c r="GV54" s="14"/>
      <c r="GW54" s="14"/>
      <c r="GX54" s="14"/>
      <c r="GY54" s="14"/>
      <c r="GZ54" s="14"/>
      <c r="HA54" s="14"/>
      <c r="HB54" s="14"/>
      <c r="HC54" s="14"/>
      <c r="HD54" s="14"/>
      <c r="HE54" s="14"/>
      <c r="HF54" s="14"/>
      <c r="HG54" s="14"/>
      <c r="HH54" s="14"/>
      <c r="HI54" s="14"/>
      <c r="HJ54" s="14"/>
      <c r="HK54" s="14"/>
      <c r="HL54" s="14"/>
      <c r="HM54" s="14"/>
      <c r="HN54" s="14"/>
      <c r="HO54" s="14"/>
      <c r="HP54" s="14"/>
      <c r="HQ54" s="14"/>
      <c r="HR54" s="14"/>
      <c r="HS54" s="14"/>
      <c r="HT54" s="14"/>
      <c r="HU54" s="14"/>
      <c r="HV54" s="14"/>
      <c r="HW54" s="14"/>
      <c r="HX54" s="14"/>
      <c r="HY54" s="14"/>
      <c r="HZ54" s="14"/>
      <c r="IA54" s="14"/>
      <c r="IB54" s="14"/>
      <c r="IC54" s="14"/>
      <c r="ID54" s="14"/>
      <c r="IE54" s="14"/>
      <c r="IF54" s="14"/>
      <c r="IG54" s="14"/>
      <c r="IH54" s="14"/>
      <c r="II54" s="14"/>
      <c r="IJ54" s="14"/>
      <c r="IK54" s="14"/>
      <c r="IL54" s="14"/>
      <c r="IM54" s="14"/>
      <c r="IN54" s="14"/>
      <c r="IO54" s="14"/>
      <c r="IP54" s="14"/>
      <c r="IQ54" s="14"/>
      <c r="IR54" s="14"/>
      <c r="IS54" s="14"/>
      <c r="IT54" s="14"/>
      <c r="IU54" s="14"/>
      <c r="IV54" s="14"/>
      <c r="IW54" s="14"/>
      <c r="IX54" s="14"/>
      <c r="IY54" s="14"/>
      <c r="IZ54" s="14"/>
      <c r="JA54" s="14"/>
      <c r="JB54" s="14"/>
      <c r="JC54" s="14"/>
      <c r="JD54" s="14"/>
      <c r="JE54" s="14"/>
      <c r="JF54" s="14"/>
      <c r="JG54" s="14"/>
      <c r="JH54" s="14"/>
      <c r="JI54" s="14"/>
      <c r="JJ54" s="14"/>
      <c r="JK54" s="14"/>
      <c r="JL54" s="14"/>
      <c r="JM54" s="14"/>
      <c r="JN54" s="14"/>
      <c r="JO54" s="14"/>
      <c r="JP54" s="14"/>
      <c r="JQ54" s="14"/>
      <c r="JR54" s="14"/>
      <c r="JS54" s="14"/>
      <c r="JT54" s="14"/>
      <c r="JU54" s="14"/>
      <c r="JV54" s="14"/>
      <c r="JW54" s="14"/>
      <c r="JX54" s="14"/>
      <c r="JY54" s="14"/>
      <c r="JZ54" s="14"/>
      <c r="KA54" s="14"/>
      <c r="KB54" s="14"/>
      <c r="KC54" s="14"/>
      <c r="KD54" s="14"/>
      <c r="KE54" s="14"/>
      <c r="KF54" s="14"/>
      <c r="KG54" s="14"/>
      <c r="KH54" s="14"/>
    </row>
    <row r="55" spans="1:294" s="31" customFormat="1" ht="27" hidden="1" customHeight="1">
      <c r="A55" s="92">
        <f>--SUBTOTAL(2,CC$12:CC55)</f>
        <v>43</v>
      </c>
      <c r="B55" s="733" t="str">
        <f>IF(FILIACIÓN!B53="","",UPPER(FILIACIÓN!B53))</f>
        <v/>
      </c>
      <c r="C55" s="734"/>
      <c r="D55" s="735"/>
      <c r="E55" s="465" t="str">
        <f>'ASISTENCIA 3'!CD56</f>
        <v/>
      </c>
      <c r="F55" s="544"/>
      <c r="G55" s="544"/>
      <c r="H55" s="544"/>
      <c r="I55" s="544"/>
      <c r="J55" s="544"/>
      <c r="K55" s="544"/>
      <c r="L55" s="544"/>
      <c r="M55" s="89"/>
      <c r="N55" s="89"/>
      <c r="O55" s="344" t="str">
        <f t="shared" si="0"/>
        <v/>
      </c>
      <c r="P55" s="59"/>
      <c r="Q55" s="120"/>
      <c r="R55" s="502"/>
      <c r="S55" s="502"/>
      <c r="T55" s="502"/>
      <c r="U55" s="502"/>
      <c r="V55" s="502"/>
      <c r="W55" s="502"/>
      <c r="X55" s="502"/>
      <c r="Y55" s="502"/>
      <c r="Z55" s="502"/>
      <c r="AA55" s="121"/>
      <c r="AB55" s="89"/>
      <c r="AC55" s="89"/>
      <c r="AD55" s="89"/>
      <c r="AE55" s="89"/>
      <c r="AF55" s="344" t="str">
        <f t="shared" si="1"/>
        <v/>
      </c>
      <c r="AG55" s="59"/>
      <c r="AH55" s="120"/>
      <c r="AI55" s="502"/>
      <c r="AJ55" s="502"/>
      <c r="AK55" s="502"/>
      <c r="AL55" s="502"/>
      <c r="AM55" s="502"/>
      <c r="AN55" s="502"/>
      <c r="AO55" s="502"/>
      <c r="AP55" s="502"/>
      <c r="AQ55" s="502"/>
      <c r="AR55" s="121"/>
      <c r="AS55" s="121"/>
      <c r="AT55" s="121"/>
      <c r="AU55" s="121"/>
      <c r="AV55" s="89"/>
      <c r="AW55" s="344" t="str">
        <f t="shared" si="2"/>
        <v/>
      </c>
      <c r="AX55" s="59"/>
      <c r="AY55" s="120"/>
      <c r="AZ55" s="502"/>
      <c r="BA55" s="502"/>
      <c r="BB55" s="502"/>
      <c r="BC55" s="502"/>
      <c r="BD55" s="502"/>
      <c r="BE55" s="502"/>
      <c r="BF55" s="502"/>
      <c r="BG55" s="89"/>
      <c r="BH55" s="89"/>
      <c r="BI55" s="344" t="str">
        <f t="shared" si="3"/>
        <v/>
      </c>
      <c r="BJ55" s="338"/>
      <c r="BK55" s="432"/>
      <c r="BL55" s="340"/>
      <c r="BM55" s="196" t="str">
        <f t="shared" si="4"/>
        <v/>
      </c>
      <c r="BN55" s="462" t="str">
        <f t="shared" si="5"/>
        <v/>
      </c>
      <c r="BO55" s="192" t="str">
        <f t="shared" si="6"/>
        <v xml:space="preserve"> </v>
      </c>
      <c r="BP55" s="460" t="str">
        <f>FILIACIÓN!Y53</f>
        <v/>
      </c>
      <c r="BQ55" s="460" t="str">
        <f t="shared" si="7"/>
        <v/>
      </c>
      <c r="BR55" s="460" t="str">
        <f t="shared" si="8"/>
        <v/>
      </c>
      <c r="BS55" s="460"/>
      <c r="BT55" s="425" t="str">
        <f>'1ER TRIMESTRE'!BM55</f>
        <v/>
      </c>
      <c r="BU55" s="425" t="str">
        <f>'2DO TRIMESTRE'!BM55</f>
        <v/>
      </c>
      <c r="BV55" s="425" t="str">
        <f t="shared" si="9"/>
        <v/>
      </c>
      <c r="BW55" s="82"/>
      <c r="BX55" s="82"/>
      <c r="BY55" s="82"/>
      <c r="BZ55" s="39"/>
      <c r="CA55" s="531" t="str">
        <f t="shared" si="10"/>
        <v/>
      </c>
      <c r="CB55" s="30" t="str">
        <f>IF(FILIACIÓN!Z53="MOSTRAR","1","")</f>
        <v/>
      </c>
      <c r="CC55" s="39">
        <v>43</v>
      </c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14"/>
      <c r="DQ55" s="14"/>
      <c r="DR55" s="14"/>
      <c r="DS55" s="14"/>
      <c r="DT55" s="14"/>
      <c r="DU55" s="14"/>
      <c r="DV55" s="14"/>
      <c r="DW55" s="14"/>
      <c r="DX55" s="14"/>
      <c r="DY55" s="14"/>
      <c r="DZ55" s="14"/>
      <c r="EA55" s="14"/>
      <c r="EB55" s="14"/>
      <c r="EC55" s="14"/>
      <c r="ED55" s="14"/>
      <c r="EE55" s="14"/>
      <c r="EF55" s="14"/>
      <c r="EG55" s="14"/>
      <c r="EH55" s="14"/>
      <c r="EI55" s="14"/>
      <c r="EJ55" s="14"/>
      <c r="EK55" s="14"/>
      <c r="EL55" s="14"/>
      <c r="EM55" s="14"/>
      <c r="EN55" s="14"/>
      <c r="EO55" s="14"/>
      <c r="EP55" s="14"/>
      <c r="EQ55" s="14"/>
      <c r="ER55" s="14"/>
      <c r="ES55" s="14"/>
      <c r="ET55" s="14"/>
      <c r="EU55" s="14"/>
      <c r="EV55" s="14"/>
      <c r="EW55" s="14"/>
      <c r="EX55" s="14"/>
      <c r="EY55" s="14"/>
      <c r="EZ55" s="14"/>
      <c r="FA55" s="14"/>
      <c r="FB55" s="14"/>
      <c r="FC55" s="14"/>
      <c r="FD55" s="14"/>
      <c r="FE55" s="14"/>
      <c r="FF55" s="14"/>
      <c r="FG55" s="14"/>
      <c r="FH55" s="14"/>
      <c r="FI55" s="14"/>
      <c r="FJ55" s="14"/>
      <c r="FK55" s="14"/>
      <c r="FL55" s="14"/>
      <c r="FM55" s="14"/>
      <c r="FN55" s="14"/>
      <c r="FO55" s="14"/>
      <c r="FP55" s="14"/>
      <c r="FQ55" s="14"/>
      <c r="FR55" s="14"/>
      <c r="FS55" s="14"/>
      <c r="FT55" s="14"/>
      <c r="FU55" s="14"/>
      <c r="FV55" s="14"/>
      <c r="FW55" s="14"/>
      <c r="FX55" s="14"/>
      <c r="FY55" s="14"/>
      <c r="FZ55" s="14"/>
      <c r="GA55" s="14"/>
      <c r="GB55" s="14"/>
      <c r="GC55" s="14"/>
      <c r="GD55" s="14"/>
      <c r="GE55" s="14"/>
      <c r="GF55" s="14"/>
      <c r="GG55" s="14"/>
      <c r="GH55" s="14"/>
      <c r="GI55" s="14"/>
      <c r="GJ55" s="14"/>
      <c r="GK55" s="14"/>
      <c r="GL55" s="14"/>
      <c r="GM55" s="14"/>
      <c r="GN55" s="14"/>
      <c r="GO55" s="14"/>
      <c r="GP55" s="14"/>
      <c r="GQ55" s="14"/>
      <c r="GR55" s="14"/>
      <c r="GS55" s="14"/>
      <c r="GT55" s="14"/>
      <c r="GU55" s="14"/>
      <c r="GV55" s="14"/>
      <c r="GW55" s="14"/>
      <c r="GX55" s="14"/>
      <c r="GY55" s="14"/>
      <c r="GZ55" s="14"/>
      <c r="HA55" s="14"/>
      <c r="HB55" s="14"/>
      <c r="HC55" s="14"/>
      <c r="HD55" s="14"/>
      <c r="HE55" s="14"/>
      <c r="HF55" s="14"/>
      <c r="HG55" s="14"/>
      <c r="HH55" s="14"/>
      <c r="HI55" s="14"/>
      <c r="HJ55" s="14"/>
      <c r="HK55" s="14"/>
      <c r="HL55" s="14"/>
      <c r="HM55" s="14"/>
      <c r="HN55" s="14"/>
      <c r="HO55" s="14"/>
      <c r="HP55" s="14"/>
      <c r="HQ55" s="14"/>
      <c r="HR55" s="14"/>
      <c r="HS55" s="14"/>
      <c r="HT55" s="14"/>
      <c r="HU55" s="14"/>
      <c r="HV55" s="14"/>
      <c r="HW55" s="14"/>
      <c r="HX55" s="14"/>
      <c r="HY55" s="14"/>
      <c r="HZ55" s="14"/>
      <c r="IA55" s="14"/>
      <c r="IB55" s="14"/>
      <c r="IC55" s="14"/>
      <c r="ID55" s="14"/>
      <c r="IE55" s="14"/>
      <c r="IF55" s="14"/>
      <c r="IG55" s="14"/>
      <c r="IH55" s="14"/>
      <c r="II55" s="14"/>
      <c r="IJ55" s="14"/>
      <c r="IK55" s="14"/>
      <c r="IL55" s="14"/>
      <c r="IM55" s="14"/>
      <c r="IN55" s="14"/>
      <c r="IO55" s="14"/>
      <c r="IP55" s="14"/>
      <c r="IQ55" s="14"/>
      <c r="IR55" s="14"/>
      <c r="IS55" s="14"/>
      <c r="IT55" s="14"/>
      <c r="IU55" s="14"/>
      <c r="IV55" s="14"/>
      <c r="IW55" s="14"/>
      <c r="IX55" s="14"/>
      <c r="IY55" s="14"/>
      <c r="IZ55" s="14"/>
      <c r="JA55" s="14"/>
      <c r="JB55" s="14"/>
      <c r="JC55" s="14"/>
      <c r="JD55" s="14"/>
      <c r="JE55" s="14"/>
      <c r="JF55" s="14"/>
      <c r="JG55" s="14"/>
      <c r="JH55" s="14"/>
      <c r="JI55" s="14"/>
      <c r="JJ55" s="14"/>
      <c r="JK55" s="14"/>
      <c r="JL55" s="14"/>
      <c r="JM55" s="14"/>
      <c r="JN55" s="14"/>
      <c r="JO55" s="14"/>
      <c r="JP55" s="14"/>
      <c r="JQ55" s="14"/>
      <c r="JR55" s="14"/>
      <c r="JS55" s="14"/>
      <c r="JT55" s="14"/>
      <c r="JU55" s="14"/>
      <c r="JV55" s="14"/>
      <c r="JW55" s="14"/>
      <c r="JX55" s="14"/>
      <c r="JY55" s="14"/>
      <c r="JZ55" s="14"/>
      <c r="KA55" s="14"/>
      <c r="KB55" s="14"/>
      <c r="KC55" s="14"/>
      <c r="KD55" s="14"/>
      <c r="KE55" s="14"/>
      <c r="KF55" s="14"/>
      <c r="KG55" s="14"/>
      <c r="KH55" s="14"/>
    </row>
    <row r="56" spans="1:294" s="31" customFormat="1" ht="27" hidden="1" customHeight="1">
      <c r="A56" s="92">
        <f>--SUBTOTAL(2,CC$12:CC56)</f>
        <v>44</v>
      </c>
      <c r="B56" s="733" t="str">
        <f>IF(FILIACIÓN!B54="","",UPPER(FILIACIÓN!B54))</f>
        <v/>
      </c>
      <c r="C56" s="734"/>
      <c r="D56" s="735"/>
      <c r="E56" s="465" t="str">
        <f>'ASISTENCIA 3'!CD57</f>
        <v/>
      </c>
      <c r="F56" s="544"/>
      <c r="G56" s="544"/>
      <c r="H56" s="544"/>
      <c r="I56" s="544"/>
      <c r="J56" s="544"/>
      <c r="K56" s="544"/>
      <c r="L56" s="544"/>
      <c r="M56" s="89"/>
      <c r="N56" s="89"/>
      <c r="O56" s="344" t="str">
        <f t="shared" si="0"/>
        <v/>
      </c>
      <c r="P56" s="59"/>
      <c r="Q56" s="120"/>
      <c r="R56" s="502"/>
      <c r="S56" s="502"/>
      <c r="T56" s="502"/>
      <c r="U56" s="502"/>
      <c r="V56" s="502"/>
      <c r="W56" s="502"/>
      <c r="X56" s="502"/>
      <c r="Y56" s="502"/>
      <c r="Z56" s="502"/>
      <c r="AA56" s="121"/>
      <c r="AB56" s="89"/>
      <c r="AC56" s="89"/>
      <c r="AD56" s="89"/>
      <c r="AE56" s="89"/>
      <c r="AF56" s="344" t="str">
        <f t="shared" si="1"/>
        <v/>
      </c>
      <c r="AG56" s="59"/>
      <c r="AH56" s="120"/>
      <c r="AI56" s="502"/>
      <c r="AJ56" s="502"/>
      <c r="AK56" s="502"/>
      <c r="AL56" s="502"/>
      <c r="AM56" s="502"/>
      <c r="AN56" s="502"/>
      <c r="AO56" s="502"/>
      <c r="AP56" s="502"/>
      <c r="AQ56" s="502"/>
      <c r="AR56" s="121"/>
      <c r="AS56" s="121"/>
      <c r="AT56" s="121"/>
      <c r="AU56" s="121"/>
      <c r="AV56" s="89"/>
      <c r="AW56" s="344" t="str">
        <f t="shared" si="2"/>
        <v/>
      </c>
      <c r="AX56" s="59"/>
      <c r="AY56" s="120"/>
      <c r="AZ56" s="502"/>
      <c r="BA56" s="502"/>
      <c r="BB56" s="502"/>
      <c r="BC56" s="502"/>
      <c r="BD56" s="502"/>
      <c r="BE56" s="502"/>
      <c r="BF56" s="502"/>
      <c r="BG56" s="89"/>
      <c r="BH56" s="89"/>
      <c r="BI56" s="344" t="str">
        <f t="shared" si="3"/>
        <v/>
      </c>
      <c r="BJ56" s="338"/>
      <c r="BK56" s="432"/>
      <c r="BL56" s="340"/>
      <c r="BM56" s="196" t="str">
        <f t="shared" ref="BM56:BM60" si="11">IF(SUM(O56,AF56,AW56,BI56,BK56)=0,"",ROUND(SUM(O56,AF56,AW56,BI56,BK56),0))</f>
        <v/>
      </c>
      <c r="BN56" s="462" t="str">
        <f t="shared" ref="BN56:BN60" si="12">IF(SUM(O56,AF56,AW56,BI56,BK56)=0,"",SUM(O56,AF56,AW56,BI56,BK56))</f>
        <v/>
      </c>
      <c r="BO56" s="192" t="str">
        <f t="shared" ref="BO56:BO60" si="13">IF(AND(BM56&gt;=1,BM56&lt;=50),"ED",IF(AND(BM56&gt;=51,BM56&lt;=68),"DA",IF(AND(BM56&gt;=69,BM56&lt;=84),"DO",IF(AND(BM56&gt;=85,BM56&lt;=100),"DP"," "))))</f>
        <v xml:space="preserve"> </v>
      </c>
      <c r="BP56" s="460" t="str">
        <f>FILIACIÓN!Y54</f>
        <v/>
      </c>
      <c r="BQ56" s="460" t="str">
        <f t="shared" ref="BQ56:BQ60" si="14">IF(OR(BM56="",BM56=0),"",IF(BM56&gt;=51,"APROBADO","REPROBADO"))</f>
        <v/>
      </c>
      <c r="BR56" s="460" t="str">
        <f t="shared" ref="BR56:BR60" si="15">IF(OR(BN56="",BN56=0),"",_xlfn.RANK.EQ(BN56,$BN$13:$BN$62))</f>
        <v/>
      </c>
      <c r="BS56" s="460"/>
      <c r="BT56" s="535" t="str">
        <f>'1ER TRIMESTRE'!BM56</f>
        <v/>
      </c>
      <c r="BU56" s="535" t="str">
        <f>'2DO TRIMESTRE'!BM56</f>
        <v/>
      </c>
      <c r="BV56" s="535" t="str">
        <f t="shared" ref="BV56:BV60" si="16">IF(OR(BT56="",BU56="",BM56=""),"",ROUND(AVERAGE(BT56,BU56,BM56),0))</f>
        <v/>
      </c>
      <c r="BW56" s="534"/>
      <c r="BX56" s="534"/>
      <c r="BY56" s="534"/>
      <c r="BZ56" s="39"/>
      <c r="CA56" s="531" t="str">
        <f t="shared" ref="CA56:CA60" si="17">IF(OR(BN56="",BN56=0),"",_xlfn.RANK.EQ(BN56,$BN$13:$BN$62))</f>
        <v/>
      </c>
      <c r="CB56" s="30" t="str">
        <f>IF(FILIACIÓN!Z54="MOSTRAR","1","")</f>
        <v/>
      </c>
      <c r="CC56" s="39">
        <v>44</v>
      </c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14"/>
      <c r="DQ56" s="14"/>
      <c r="DR56" s="14"/>
      <c r="DS56" s="14"/>
      <c r="DT56" s="14"/>
      <c r="DU56" s="14"/>
      <c r="DV56" s="14"/>
      <c r="DW56" s="14"/>
      <c r="DX56" s="14"/>
      <c r="DY56" s="14"/>
      <c r="DZ56" s="14"/>
      <c r="EA56" s="14"/>
      <c r="EB56" s="14"/>
      <c r="EC56" s="14"/>
      <c r="ED56" s="14"/>
      <c r="EE56" s="14"/>
      <c r="EF56" s="14"/>
      <c r="EG56" s="14"/>
      <c r="EH56" s="14"/>
      <c r="EI56" s="14"/>
      <c r="EJ56" s="14"/>
      <c r="EK56" s="14"/>
      <c r="EL56" s="14"/>
      <c r="EM56" s="14"/>
      <c r="EN56" s="14"/>
      <c r="EO56" s="14"/>
      <c r="EP56" s="14"/>
      <c r="EQ56" s="14"/>
      <c r="ER56" s="14"/>
      <c r="ES56" s="14"/>
      <c r="ET56" s="14"/>
      <c r="EU56" s="14"/>
      <c r="EV56" s="14"/>
      <c r="EW56" s="14"/>
      <c r="EX56" s="14"/>
      <c r="EY56" s="14"/>
      <c r="EZ56" s="14"/>
      <c r="FA56" s="14"/>
      <c r="FB56" s="14"/>
      <c r="FC56" s="14"/>
      <c r="FD56" s="14"/>
      <c r="FE56" s="14"/>
      <c r="FF56" s="14"/>
      <c r="FG56" s="14"/>
      <c r="FH56" s="14"/>
      <c r="FI56" s="14"/>
      <c r="FJ56" s="14"/>
      <c r="FK56" s="14"/>
      <c r="FL56" s="14"/>
      <c r="FM56" s="14"/>
      <c r="FN56" s="14"/>
      <c r="FO56" s="14"/>
      <c r="FP56" s="14"/>
      <c r="FQ56" s="14"/>
      <c r="FR56" s="14"/>
      <c r="FS56" s="14"/>
      <c r="FT56" s="14"/>
      <c r="FU56" s="14"/>
      <c r="FV56" s="14"/>
      <c r="FW56" s="14"/>
      <c r="FX56" s="14"/>
      <c r="FY56" s="14"/>
      <c r="FZ56" s="14"/>
      <c r="GA56" s="14"/>
      <c r="GB56" s="14"/>
      <c r="GC56" s="14"/>
      <c r="GD56" s="14"/>
      <c r="GE56" s="14"/>
      <c r="GF56" s="14"/>
      <c r="GG56" s="14"/>
      <c r="GH56" s="14"/>
      <c r="GI56" s="14"/>
      <c r="GJ56" s="14"/>
      <c r="GK56" s="14"/>
      <c r="GL56" s="14"/>
      <c r="GM56" s="14"/>
      <c r="GN56" s="14"/>
      <c r="GO56" s="14"/>
      <c r="GP56" s="14"/>
      <c r="GQ56" s="14"/>
      <c r="GR56" s="14"/>
      <c r="GS56" s="14"/>
      <c r="GT56" s="14"/>
      <c r="GU56" s="14"/>
      <c r="GV56" s="14"/>
      <c r="GW56" s="14"/>
      <c r="GX56" s="14"/>
      <c r="GY56" s="14"/>
      <c r="GZ56" s="14"/>
      <c r="HA56" s="14"/>
      <c r="HB56" s="14"/>
      <c r="HC56" s="14"/>
      <c r="HD56" s="14"/>
      <c r="HE56" s="14"/>
      <c r="HF56" s="14"/>
      <c r="HG56" s="14"/>
      <c r="HH56" s="14"/>
      <c r="HI56" s="14"/>
      <c r="HJ56" s="14"/>
      <c r="HK56" s="14"/>
      <c r="HL56" s="14"/>
      <c r="HM56" s="14"/>
      <c r="HN56" s="14"/>
      <c r="HO56" s="14"/>
      <c r="HP56" s="14"/>
      <c r="HQ56" s="14"/>
      <c r="HR56" s="14"/>
      <c r="HS56" s="14"/>
      <c r="HT56" s="14"/>
      <c r="HU56" s="14"/>
      <c r="HV56" s="14"/>
      <c r="HW56" s="14"/>
      <c r="HX56" s="14"/>
      <c r="HY56" s="14"/>
      <c r="HZ56" s="14"/>
      <c r="IA56" s="14"/>
      <c r="IB56" s="14"/>
      <c r="IC56" s="14"/>
      <c r="ID56" s="14"/>
      <c r="IE56" s="14"/>
      <c r="IF56" s="14"/>
      <c r="IG56" s="14"/>
      <c r="IH56" s="14"/>
      <c r="II56" s="14"/>
      <c r="IJ56" s="14"/>
      <c r="IK56" s="14"/>
      <c r="IL56" s="14"/>
      <c r="IM56" s="14"/>
      <c r="IN56" s="14"/>
      <c r="IO56" s="14"/>
      <c r="IP56" s="14"/>
      <c r="IQ56" s="14"/>
      <c r="IR56" s="14"/>
      <c r="IS56" s="14"/>
      <c r="IT56" s="14"/>
      <c r="IU56" s="14"/>
      <c r="IV56" s="14"/>
      <c r="IW56" s="14"/>
      <c r="IX56" s="14"/>
      <c r="IY56" s="14"/>
      <c r="IZ56" s="14"/>
      <c r="JA56" s="14"/>
      <c r="JB56" s="14"/>
      <c r="JC56" s="14"/>
      <c r="JD56" s="14"/>
      <c r="JE56" s="14"/>
      <c r="JF56" s="14"/>
      <c r="JG56" s="14"/>
      <c r="JH56" s="14"/>
      <c r="JI56" s="14"/>
      <c r="JJ56" s="14"/>
      <c r="JK56" s="14"/>
      <c r="JL56" s="14"/>
      <c r="JM56" s="14"/>
      <c r="JN56" s="14"/>
      <c r="JO56" s="14"/>
      <c r="JP56" s="14"/>
      <c r="JQ56" s="14"/>
      <c r="JR56" s="14"/>
      <c r="JS56" s="14"/>
      <c r="JT56" s="14"/>
      <c r="JU56" s="14"/>
      <c r="JV56" s="14"/>
      <c r="JW56" s="14"/>
      <c r="JX56" s="14"/>
      <c r="JY56" s="14"/>
      <c r="JZ56" s="14"/>
      <c r="KA56" s="14"/>
      <c r="KB56" s="14"/>
      <c r="KC56" s="14"/>
      <c r="KD56" s="14"/>
      <c r="KE56" s="14"/>
      <c r="KF56" s="14"/>
      <c r="KG56" s="14"/>
      <c r="KH56" s="14"/>
    </row>
    <row r="57" spans="1:294" s="31" customFormat="1" ht="27" hidden="1" customHeight="1">
      <c r="A57" s="92">
        <f>--SUBTOTAL(2,CC$12:CC57)</f>
        <v>45</v>
      </c>
      <c r="B57" s="733" t="str">
        <f>IF(FILIACIÓN!B55="","",UPPER(FILIACIÓN!B55))</f>
        <v/>
      </c>
      <c r="C57" s="734"/>
      <c r="D57" s="735"/>
      <c r="E57" s="465" t="str">
        <f>'ASISTENCIA 3'!CD58</f>
        <v/>
      </c>
      <c r="F57" s="544"/>
      <c r="G57" s="544"/>
      <c r="H57" s="544"/>
      <c r="I57" s="544"/>
      <c r="J57" s="544"/>
      <c r="K57" s="544"/>
      <c r="L57" s="544"/>
      <c r="M57" s="89"/>
      <c r="N57" s="89"/>
      <c r="O57" s="344" t="str">
        <f t="shared" si="0"/>
        <v/>
      </c>
      <c r="P57" s="59"/>
      <c r="Q57" s="120"/>
      <c r="R57" s="502"/>
      <c r="S57" s="502"/>
      <c r="T57" s="502"/>
      <c r="U57" s="502"/>
      <c r="V57" s="502"/>
      <c r="W57" s="502"/>
      <c r="X57" s="502"/>
      <c r="Y57" s="502"/>
      <c r="Z57" s="502"/>
      <c r="AA57" s="121"/>
      <c r="AB57" s="89"/>
      <c r="AC57" s="89"/>
      <c r="AD57" s="89"/>
      <c r="AE57" s="89"/>
      <c r="AF57" s="344" t="str">
        <f t="shared" si="1"/>
        <v/>
      </c>
      <c r="AG57" s="59"/>
      <c r="AH57" s="120"/>
      <c r="AI57" s="502"/>
      <c r="AJ57" s="502"/>
      <c r="AK57" s="502"/>
      <c r="AL57" s="502"/>
      <c r="AM57" s="502"/>
      <c r="AN57" s="502"/>
      <c r="AO57" s="502"/>
      <c r="AP57" s="502"/>
      <c r="AQ57" s="502"/>
      <c r="AR57" s="121"/>
      <c r="AS57" s="121"/>
      <c r="AT57" s="121"/>
      <c r="AU57" s="121"/>
      <c r="AV57" s="89"/>
      <c r="AW57" s="344" t="str">
        <f t="shared" si="2"/>
        <v/>
      </c>
      <c r="AX57" s="59"/>
      <c r="AY57" s="120"/>
      <c r="AZ57" s="502"/>
      <c r="BA57" s="502"/>
      <c r="BB57" s="502"/>
      <c r="BC57" s="502"/>
      <c r="BD57" s="502"/>
      <c r="BE57" s="502"/>
      <c r="BF57" s="502"/>
      <c r="BG57" s="89"/>
      <c r="BH57" s="89"/>
      <c r="BI57" s="344" t="str">
        <f t="shared" si="3"/>
        <v/>
      </c>
      <c r="BJ57" s="338"/>
      <c r="BK57" s="432"/>
      <c r="BL57" s="340"/>
      <c r="BM57" s="196" t="str">
        <f t="shared" si="11"/>
        <v/>
      </c>
      <c r="BN57" s="462" t="str">
        <f t="shared" si="12"/>
        <v/>
      </c>
      <c r="BO57" s="192" t="str">
        <f t="shared" si="13"/>
        <v xml:space="preserve"> </v>
      </c>
      <c r="BP57" s="460" t="str">
        <f>FILIACIÓN!Y55</f>
        <v/>
      </c>
      <c r="BQ57" s="460" t="str">
        <f t="shared" si="14"/>
        <v/>
      </c>
      <c r="BR57" s="460" t="str">
        <f t="shared" si="15"/>
        <v/>
      </c>
      <c r="BS57" s="460"/>
      <c r="BT57" s="535" t="str">
        <f>'1ER TRIMESTRE'!BM57</f>
        <v/>
      </c>
      <c r="BU57" s="535" t="str">
        <f>'2DO TRIMESTRE'!BM57</f>
        <v/>
      </c>
      <c r="BV57" s="535" t="str">
        <f t="shared" si="16"/>
        <v/>
      </c>
      <c r="BW57" s="534"/>
      <c r="BX57" s="534"/>
      <c r="BY57" s="534"/>
      <c r="BZ57" s="39"/>
      <c r="CA57" s="531" t="str">
        <f t="shared" si="17"/>
        <v/>
      </c>
      <c r="CB57" s="30" t="str">
        <f>IF(FILIACIÓN!Z55="MOSTRAR","1","")</f>
        <v/>
      </c>
      <c r="CC57" s="39">
        <v>45</v>
      </c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  <c r="IT57" s="14"/>
      <c r="IU57" s="14"/>
      <c r="IV57" s="14"/>
      <c r="IW57" s="14"/>
      <c r="IX57" s="14"/>
      <c r="IY57" s="14"/>
      <c r="IZ57" s="14"/>
      <c r="JA57" s="14"/>
      <c r="JB57" s="14"/>
      <c r="JC57" s="14"/>
      <c r="JD57" s="14"/>
      <c r="JE57" s="14"/>
      <c r="JF57" s="14"/>
      <c r="JG57" s="14"/>
      <c r="JH57" s="14"/>
      <c r="JI57" s="14"/>
      <c r="JJ57" s="14"/>
      <c r="JK57" s="14"/>
      <c r="JL57" s="14"/>
      <c r="JM57" s="14"/>
      <c r="JN57" s="14"/>
      <c r="JO57" s="14"/>
      <c r="JP57" s="14"/>
      <c r="JQ57" s="14"/>
      <c r="JR57" s="14"/>
      <c r="JS57" s="14"/>
      <c r="JT57" s="14"/>
      <c r="JU57" s="14"/>
      <c r="JV57" s="14"/>
      <c r="JW57" s="14"/>
      <c r="JX57" s="14"/>
      <c r="JY57" s="14"/>
      <c r="JZ57" s="14"/>
      <c r="KA57" s="14"/>
      <c r="KB57" s="14"/>
      <c r="KC57" s="14"/>
      <c r="KD57" s="14"/>
      <c r="KE57" s="14"/>
      <c r="KF57" s="14"/>
      <c r="KG57" s="14"/>
      <c r="KH57" s="14"/>
    </row>
    <row r="58" spans="1:294" s="31" customFormat="1" ht="27" hidden="1" customHeight="1">
      <c r="A58" s="92">
        <f>--SUBTOTAL(2,CC$12:CC58)</f>
        <v>46</v>
      </c>
      <c r="B58" s="733" t="str">
        <f>IF(FILIACIÓN!B56="","",UPPER(FILIACIÓN!B56))</f>
        <v/>
      </c>
      <c r="C58" s="734"/>
      <c r="D58" s="735"/>
      <c r="E58" s="465" t="str">
        <f>'ASISTENCIA 3'!CD59</f>
        <v/>
      </c>
      <c r="F58" s="544"/>
      <c r="G58" s="544"/>
      <c r="H58" s="544"/>
      <c r="I58" s="544"/>
      <c r="J58" s="544"/>
      <c r="K58" s="544"/>
      <c r="L58" s="544"/>
      <c r="M58" s="89"/>
      <c r="N58" s="89"/>
      <c r="O58" s="344" t="str">
        <f t="shared" si="0"/>
        <v/>
      </c>
      <c r="P58" s="59"/>
      <c r="Q58" s="120"/>
      <c r="R58" s="502"/>
      <c r="S58" s="502"/>
      <c r="T58" s="502"/>
      <c r="U58" s="502"/>
      <c r="V58" s="502"/>
      <c r="W58" s="502"/>
      <c r="X58" s="502"/>
      <c r="Y58" s="502"/>
      <c r="Z58" s="502"/>
      <c r="AA58" s="121"/>
      <c r="AB58" s="89"/>
      <c r="AC58" s="89"/>
      <c r="AD58" s="89"/>
      <c r="AE58" s="89"/>
      <c r="AF58" s="344" t="str">
        <f t="shared" si="1"/>
        <v/>
      </c>
      <c r="AG58" s="59"/>
      <c r="AH58" s="120"/>
      <c r="AI58" s="502"/>
      <c r="AJ58" s="502"/>
      <c r="AK58" s="502"/>
      <c r="AL58" s="502"/>
      <c r="AM58" s="502"/>
      <c r="AN58" s="502"/>
      <c r="AO58" s="502"/>
      <c r="AP58" s="502"/>
      <c r="AQ58" s="502"/>
      <c r="AR58" s="121"/>
      <c r="AS58" s="121"/>
      <c r="AT58" s="121"/>
      <c r="AU58" s="121"/>
      <c r="AV58" s="89"/>
      <c r="AW58" s="344" t="str">
        <f t="shared" si="2"/>
        <v/>
      </c>
      <c r="AX58" s="59"/>
      <c r="AY58" s="120"/>
      <c r="AZ58" s="502"/>
      <c r="BA58" s="502"/>
      <c r="BB58" s="502"/>
      <c r="BC58" s="502"/>
      <c r="BD58" s="502"/>
      <c r="BE58" s="502"/>
      <c r="BF58" s="502"/>
      <c r="BG58" s="89"/>
      <c r="BH58" s="89"/>
      <c r="BI58" s="344" t="str">
        <f t="shared" si="3"/>
        <v/>
      </c>
      <c r="BJ58" s="338"/>
      <c r="BK58" s="432"/>
      <c r="BL58" s="340"/>
      <c r="BM58" s="196" t="str">
        <f t="shared" si="11"/>
        <v/>
      </c>
      <c r="BN58" s="462" t="str">
        <f t="shared" si="12"/>
        <v/>
      </c>
      <c r="BO58" s="192" t="str">
        <f t="shared" si="13"/>
        <v xml:space="preserve"> </v>
      </c>
      <c r="BP58" s="460" t="str">
        <f>FILIACIÓN!Y56</f>
        <v/>
      </c>
      <c r="BQ58" s="460" t="str">
        <f t="shared" si="14"/>
        <v/>
      </c>
      <c r="BR58" s="460" t="str">
        <f t="shared" si="15"/>
        <v/>
      </c>
      <c r="BS58" s="460"/>
      <c r="BT58" s="535" t="str">
        <f>'1ER TRIMESTRE'!BM58</f>
        <v/>
      </c>
      <c r="BU58" s="535" t="str">
        <f>'2DO TRIMESTRE'!BM58</f>
        <v/>
      </c>
      <c r="BV58" s="535" t="str">
        <f t="shared" si="16"/>
        <v/>
      </c>
      <c r="BW58" s="534"/>
      <c r="BX58" s="534"/>
      <c r="BY58" s="534"/>
      <c r="BZ58" s="39"/>
      <c r="CA58" s="531" t="str">
        <f t="shared" si="17"/>
        <v/>
      </c>
      <c r="CB58" s="30" t="str">
        <f>IF(FILIACIÓN!Z56="MOSTRAR","1","")</f>
        <v/>
      </c>
      <c r="CC58" s="39">
        <v>46</v>
      </c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14"/>
      <c r="DQ58" s="14"/>
      <c r="DR58" s="14"/>
      <c r="DS58" s="14"/>
      <c r="DT58" s="14"/>
      <c r="DU58" s="14"/>
      <c r="DV58" s="14"/>
      <c r="DW58" s="14"/>
      <c r="DX58" s="14"/>
      <c r="DY58" s="14"/>
      <c r="DZ58" s="14"/>
      <c r="EA58" s="14"/>
      <c r="EB58" s="14"/>
      <c r="EC58" s="14"/>
      <c r="ED58" s="14"/>
      <c r="EE58" s="14"/>
      <c r="EF58" s="14"/>
      <c r="EG58" s="14"/>
      <c r="EH58" s="14"/>
      <c r="EI58" s="14"/>
      <c r="EJ58" s="14"/>
      <c r="EK58" s="14"/>
      <c r="EL58" s="14"/>
      <c r="EM58" s="14"/>
      <c r="EN58" s="14"/>
      <c r="EO58" s="14"/>
      <c r="EP58" s="14"/>
      <c r="EQ58" s="14"/>
      <c r="ER58" s="14"/>
      <c r="ES58" s="14"/>
      <c r="ET58" s="14"/>
      <c r="EU58" s="14"/>
      <c r="EV58" s="14"/>
      <c r="EW58" s="14"/>
      <c r="EX58" s="14"/>
      <c r="EY58" s="14"/>
      <c r="EZ58" s="14"/>
      <c r="FA58" s="14"/>
      <c r="FB58" s="14"/>
      <c r="FC58" s="14"/>
      <c r="FD58" s="14"/>
      <c r="FE58" s="14"/>
      <c r="FF58" s="14"/>
      <c r="FG58" s="14"/>
      <c r="FH58" s="14"/>
      <c r="FI58" s="14"/>
      <c r="FJ58" s="14"/>
      <c r="FK58" s="14"/>
      <c r="FL58" s="14"/>
      <c r="FM58" s="14"/>
      <c r="FN58" s="14"/>
      <c r="FO58" s="14"/>
      <c r="FP58" s="14"/>
      <c r="FQ58" s="14"/>
      <c r="FR58" s="14"/>
      <c r="FS58" s="14"/>
      <c r="FT58" s="14"/>
      <c r="FU58" s="14"/>
      <c r="FV58" s="14"/>
      <c r="FW58" s="14"/>
      <c r="FX58" s="14"/>
      <c r="FY58" s="14"/>
      <c r="FZ58" s="14"/>
      <c r="GA58" s="14"/>
      <c r="GB58" s="14"/>
      <c r="GC58" s="14"/>
      <c r="GD58" s="14"/>
      <c r="GE58" s="14"/>
      <c r="GF58" s="14"/>
      <c r="GG58" s="14"/>
      <c r="GH58" s="14"/>
      <c r="GI58" s="14"/>
      <c r="GJ58" s="14"/>
      <c r="GK58" s="14"/>
      <c r="GL58" s="14"/>
      <c r="GM58" s="14"/>
      <c r="GN58" s="14"/>
      <c r="GO58" s="14"/>
      <c r="GP58" s="14"/>
      <c r="GQ58" s="14"/>
      <c r="GR58" s="14"/>
      <c r="GS58" s="14"/>
      <c r="GT58" s="14"/>
      <c r="GU58" s="14"/>
      <c r="GV58" s="14"/>
      <c r="GW58" s="14"/>
      <c r="GX58" s="14"/>
      <c r="GY58" s="14"/>
      <c r="GZ58" s="14"/>
      <c r="HA58" s="14"/>
      <c r="HB58" s="14"/>
      <c r="HC58" s="14"/>
      <c r="HD58" s="14"/>
      <c r="HE58" s="14"/>
      <c r="HF58" s="14"/>
      <c r="HG58" s="14"/>
      <c r="HH58" s="14"/>
      <c r="HI58" s="14"/>
      <c r="HJ58" s="14"/>
      <c r="HK58" s="14"/>
      <c r="HL58" s="14"/>
      <c r="HM58" s="14"/>
      <c r="HN58" s="14"/>
      <c r="HO58" s="14"/>
      <c r="HP58" s="14"/>
      <c r="HQ58" s="14"/>
      <c r="HR58" s="14"/>
      <c r="HS58" s="14"/>
      <c r="HT58" s="14"/>
      <c r="HU58" s="14"/>
      <c r="HV58" s="14"/>
      <c r="HW58" s="14"/>
      <c r="HX58" s="14"/>
      <c r="HY58" s="14"/>
      <c r="HZ58" s="14"/>
      <c r="IA58" s="14"/>
      <c r="IB58" s="14"/>
      <c r="IC58" s="14"/>
      <c r="ID58" s="14"/>
      <c r="IE58" s="14"/>
      <c r="IF58" s="14"/>
      <c r="IG58" s="14"/>
      <c r="IH58" s="14"/>
      <c r="II58" s="14"/>
      <c r="IJ58" s="14"/>
      <c r="IK58" s="14"/>
      <c r="IL58" s="14"/>
      <c r="IM58" s="14"/>
      <c r="IN58" s="14"/>
      <c r="IO58" s="14"/>
      <c r="IP58" s="14"/>
      <c r="IQ58" s="14"/>
      <c r="IR58" s="14"/>
      <c r="IS58" s="14"/>
      <c r="IT58" s="14"/>
      <c r="IU58" s="14"/>
      <c r="IV58" s="14"/>
      <c r="IW58" s="14"/>
      <c r="IX58" s="14"/>
      <c r="IY58" s="14"/>
      <c r="IZ58" s="14"/>
      <c r="JA58" s="14"/>
      <c r="JB58" s="14"/>
      <c r="JC58" s="14"/>
      <c r="JD58" s="14"/>
      <c r="JE58" s="14"/>
      <c r="JF58" s="14"/>
      <c r="JG58" s="14"/>
      <c r="JH58" s="14"/>
      <c r="JI58" s="14"/>
      <c r="JJ58" s="14"/>
      <c r="JK58" s="14"/>
      <c r="JL58" s="14"/>
      <c r="JM58" s="14"/>
      <c r="JN58" s="14"/>
      <c r="JO58" s="14"/>
      <c r="JP58" s="14"/>
      <c r="JQ58" s="14"/>
      <c r="JR58" s="14"/>
      <c r="JS58" s="14"/>
      <c r="JT58" s="14"/>
      <c r="JU58" s="14"/>
      <c r="JV58" s="14"/>
      <c r="JW58" s="14"/>
      <c r="JX58" s="14"/>
      <c r="JY58" s="14"/>
      <c r="JZ58" s="14"/>
      <c r="KA58" s="14"/>
      <c r="KB58" s="14"/>
      <c r="KC58" s="14"/>
      <c r="KD58" s="14"/>
      <c r="KE58" s="14"/>
      <c r="KF58" s="14"/>
      <c r="KG58" s="14"/>
      <c r="KH58" s="14"/>
    </row>
    <row r="59" spans="1:294" s="31" customFormat="1" ht="27" hidden="1" customHeight="1">
      <c r="A59" s="92">
        <f>--SUBTOTAL(2,CC$12:CC59)</f>
        <v>47</v>
      </c>
      <c r="B59" s="733" t="str">
        <f>IF(FILIACIÓN!B57="","",UPPER(FILIACIÓN!B57))</f>
        <v/>
      </c>
      <c r="C59" s="734"/>
      <c r="D59" s="735"/>
      <c r="E59" s="465" t="str">
        <f>'ASISTENCIA 3'!CD60</f>
        <v/>
      </c>
      <c r="F59" s="544"/>
      <c r="G59" s="544"/>
      <c r="H59" s="544"/>
      <c r="I59" s="544"/>
      <c r="J59" s="544"/>
      <c r="K59" s="544"/>
      <c r="L59" s="544"/>
      <c r="M59" s="89"/>
      <c r="N59" s="89"/>
      <c r="O59" s="344" t="str">
        <f t="shared" si="0"/>
        <v/>
      </c>
      <c r="P59" s="59"/>
      <c r="Q59" s="120"/>
      <c r="R59" s="502"/>
      <c r="S59" s="502"/>
      <c r="T59" s="502"/>
      <c r="U59" s="502"/>
      <c r="V59" s="502"/>
      <c r="W59" s="502"/>
      <c r="X59" s="502"/>
      <c r="Y59" s="502"/>
      <c r="Z59" s="502"/>
      <c r="AA59" s="121"/>
      <c r="AB59" s="89"/>
      <c r="AC59" s="89"/>
      <c r="AD59" s="89"/>
      <c r="AE59" s="89"/>
      <c r="AF59" s="344" t="str">
        <f t="shared" si="1"/>
        <v/>
      </c>
      <c r="AG59" s="59"/>
      <c r="AH59" s="120"/>
      <c r="AI59" s="502"/>
      <c r="AJ59" s="502"/>
      <c r="AK59" s="502"/>
      <c r="AL59" s="502"/>
      <c r="AM59" s="502"/>
      <c r="AN59" s="502"/>
      <c r="AO59" s="502"/>
      <c r="AP59" s="502"/>
      <c r="AQ59" s="502"/>
      <c r="AR59" s="121"/>
      <c r="AS59" s="121"/>
      <c r="AT59" s="121"/>
      <c r="AU59" s="121"/>
      <c r="AV59" s="89"/>
      <c r="AW59" s="344" t="str">
        <f t="shared" si="2"/>
        <v/>
      </c>
      <c r="AX59" s="59"/>
      <c r="AY59" s="120"/>
      <c r="AZ59" s="502"/>
      <c r="BA59" s="502"/>
      <c r="BB59" s="502"/>
      <c r="BC59" s="502"/>
      <c r="BD59" s="502"/>
      <c r="BE59" s="502"/>
      <c r="BF59" s="502"/>
      <c r="BG59" s="89"/>
      <c r="BH59" s="89"/>
      <c r="BI59" s="344" t="str">
        <f t="shared" si="3"/>
        <v/>
      </c>
      <c r="BJ59" s="338"/>
      <c r="BK59" s="432"/>
      <c r="BL59" s="340"/>
      <c r="BM59" s="196" t="str">
        <f t="shared" si="11"/>
        <v/>
      </c>
      <c r="BN59" s="462" t="str">
        <f t="shared" si="12"/>
        <v/>
      </c>
      <c r="BO59" s="192" t="str">
        <f t="shared" si="13"/>
        <v xml:space="preserve"> </v>
      </c>
      <c r="BP59" s="460" t="str">
        <f>FILIACIÓN!Y57</f>
        <v/>
      </c>
      <c r="BQ59" s="460" t="str">
        <f t="shared" si="14"/>
        <v/>
      </c>
      <c r="BR59" s="460" t="str">
        <f t="shared" si="15"/>
        <v/>
      </c>
      <c r="BS59" s="460"/>
      <c r="BT59" s="535" t="str">
        <f>'1ER TRIMESTRE'!BM59</f>
        <v/>
      </c>
      <c r="BU59" s="535" t="str">
        <f>'2DO TRIMESTRE'!BM59</f>
        <v/>
      </c>
      <c r="BV59" s="535" t="str">
        <f t="shared" si="16"/>
        <v/>
      </c>
      <c r="BW59" s="534"/>
      <c r="BX59" s="534"/>
      <c r="BY59" s="534"/>
      <c r="BZ59" s="39"/>
      <c r="CA59" s="531" t="str">
        <f t="shared" si="17"/>
        <v/>
      </c>
      <c r="CB59" s="30" t="str">
        <f>IF(FILIACIÓN!Z57="MOSTRAR","1","")</f>
        <v/>
      </c>
      <c r="CC59" s="39">
        <v>47</v>
      </c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14"/>
      <c r="DQ59" s="14"/>
      <c r="DR59" s="14"/>
      <c r="DS59" s="14"/>
      <c r="DT59" s="14"/>
      <c r="DU59" s="14"/>
      <c r="DV59" s="14"/>
      <c r="DW59" s="14"/>
      <c r="DX59" s="14"/>
      <c r="DY59" s="14"/>
      <c r="DZ59" s="14"/>
      <c r="EA59" s="14"/>
      <c r="EB59" s="14"/>
      <c r="EC59" s="14"/>
      <c r="ED59" s="14"/>
      <c r="EE59" s="14"/>
      <c r="EF59" s="14"/>
      <c r="EG59" s="14"/>
      <c r="EH59" s="14"/>
      <c r="EI59" s="14"/>
      <c r="EJ59" s="14"/>
      <c r="EK59" s="14"/>
      <c r="EL59" s="14"/>
      <c r="EM59" s="14"/>
      <c r="EN59" s="14"/>
      <c r="EO59" s="14"/>
      <c r="EP59" s="14"/>
      <c r="EQ59" s="14"/>
      <c r="ER59" s="14"/>
      <c r="ES59" s="14"/>
      <c r="ET59" s="14"/>
      <c r="EU59" s="14"/>
      <c r="EV59" s="14"/>
      <c r="EW59" s="14"/>
      <c r="EX59" s="14"/>
      <c r="EY59" s="14"/>
      <c r="EZ59" s="14"/>
      <c r="FA59" s="14"/>
      <c r="FB59" s="14"/>
      <c r="FC59" s="14"/>
      <c r="FD59" s="14"/>
      <c r="FE59" s="14"/>
      <c r="FF59" s="14"/>
      <c r="FG59" s="14"/>
      <c r="FH59" s="14"/>
      <c r="FI59" s="14"/>
      <c r="FJ59" s="14"/>
      <c r="FK59" s="14"/>
      <c r="FL59" s="14"/>
      <c r="FM59" s="14"/>
      <c r="FN59" s="14"/>
      <c r="FO59" s="14"/>
      <c r="FP59" s="14"/>
      <c r="FQ59" s="14"/>
      <c r="FR59" s="14"/>
      <c r="FS59" s="14"/>
      <c r="FT59" s="14"/>
      <c r="FU59" s="14"/>
      <c r="FV59" s="14"/>
      <c r="FW59" s="14"/>
      <c r="FX59" s="14"/>
      <c r="FY59" s="14"/>
      <c r="FZ59" s="14"/>
      <c r="GA59" s="14"/>
      <c r="GB59" s="14"/>
      <c r="GC59" s="14"/>
      <c r="GD59" s="14"/>
      <c r="GE59" s="14"/>
      <c r="GF59" s="14"/>
      <c r="GG59" s="14"/>
      <c r="GH59" s="14"/>
      <c r="GI59" s="14"/>
      <c r="GJ59" s="14"/>
      <c r="GK59" s="14"/>
      <c r="GL59" s="14"/>
      <c r="GM59" s="14"/>
      <c r="GN59" s="14"/>
      <c r="GO59" s="14"/>
      <c r="GP59" s="14"/>
      <c r="GQ59" s="14"/>
      <c r="GR59" s="14"/>
      <c r="GS59" s="14"/>
      <c r="GT59" s="14"/>
      <c r="GU59" s="14"/>
      <c r="GV59" s="14"/>
      <c r="GW59" s="14"/>
      <c r="GX59" s="14"/>
      <c r="GY59" s="14"/>
      <c r="GZ59" s="14"/>
      <c r="HA59" s="14"/>
      <c r="HB59" s="14"/>
      <c r="HC59" s="14"/>
      <c r="HD59" s="14"/>
      <c r="HE59" s="14"/>
      <c r="HF59" s="14"/>
      <c r="HG59" s="14"/>
      <c r="HH59" s="14"/>
      <c r="HI59" s="14"/>
      <c r="HJ59" s="14"/>
      <c r="HK59" s="14"/>
      <c r="HL59" s="14"/>
      <c r="HM59" s="14"/>
      <c r="HN59" s="14"/>
      <c r="HO59" s="14"/>
      <c r="HP59" s="14"/>
      <c r="HQ59" s="14"/>
      <c r="HR59" s="14"/>
      <c r="HS59" s="14"/>
      <c r="HT59" s="14"/>
      <c r="HU59" s="14"/>
      <c r="HV59" s="14"/>
      <c r="HW59" s="14"/>
      <c r="HX59" s="14"/>
      <c r="HY59" s="14"/>
      <c r="HZ59" s="14"/>
      <c r="IA59" s="14"/>
      <c r="IB59" s="14"/>
      <c r="IC59" s="14"/>
      <c r="ID59" s="14"/>
      <c r="IE59" s="14"/>
      <c r="IF59" s="14"/>
      <c r="IG59" s="14"/>
      <c r="IH59" s="14"/>
      <c r="II59" s="14"/>
      <c r="IJ59" s="14"/>
      <c r="IK59" s="14"/>
      <c r="IL59" s="14"/>
      <c r="IM59" s="14"/>
      <c r="IN59" s="14"/>
      <c r="IO59" s="14"/>
      <c r="IP59" s="14"/>
      <c r="IQ59" s="14"/>
      <c r="IR59" s="14"/>
      <c r="IS59" s="14"/>
      <c r="IT59" s="14"/>
      <c r="IU59" s="14"/>
      <c r="IV59" s="14"/>
      <c r="IW59" s="14"/>
      <c r="IX59" s="14"/>
      <c r="IY59" s="14"/>
      <c r="IZ59" s="14"/>
      <c r="JA59" s="14"/>
      <c r="JB59" s="14"/>
      <c r="JC59" s="14"/>
      <c r="JD59" s="14"/>
      <c r="JE59" s="14"/>
      <c r="JF59" s="14"/>
      <c r="JG59" s="14"/>
      <c r="JH59" s="14"/>
      <c r="JI59" s="14"/>
      <c r="JJ59" s="14"/>
      <c r="JK59" s="14"/>
      <c r="JL59" s="14"/>
      <c r="JM59" s="14"/>
      <c r="JN59" s="14"/>
      <c r="JO59" s="14"/>
      <c r="JP59" s="14"/>
      <c r="JQ59" s="14"/>
      <c r="JR59" s="14"/>
      <c r="JS59" s="14"/>
      <c r="JT59" s="14"/>
      <c r="JU59" s="14"/>
      <c r="JV59" s="14"/>
      <c r="JW59" s="14"/>
      <c r="JX59" s="14"/>
      <c r="JY59" s="14"/>
      <c r="JZ59" s="14"/>
      <c r="KA59" s="14"/>
      <c r="KB59" s="14"/>
      <c r="KC59" s="14"/>
      <c r="KD59" s="14"/>
      <c r="KE59" s="14"/>
      <c r="KF59" s="14"/>
      <c r="KG59" s="14"/>
      <c r="KH59" s="14"/>
    </row>
    <row r="60" spans="1:294" s="31" customFormat="1" ht="27" hidden="1" customHeight="1">
      <c r="A60" s="92">
        <f>--SUBTOTAL(2,CC$12:CC60)</f>
        <v>48</v>
      </c>
      <c r="B60" s="733" t="str">
        <f>IF(FILIACIÓN!B58="","",UPPER(FILIACIÓN!B58))</f>
        <v/>
      </c>
      <c r="C60" s="734"/>
      <c r="D60" s="735"/>
      <c r="E60" s="465" t="str">
        <f>'ASISTENCIA 3'!CD61</f>
        <v/>
      </c>
      <c r="F60" s="544"/>
      <c r="G60" s="544"/>
      <c r="H60" s="544"/>
      <c r="I60" s="544"/>
      <c r="J60" s="544"/>
      <c r="K60" s="544"/>
      <c r="L60" s="544"/>
      <c r="M60" s="89"/>
      <c r="N60" s="89"/>
      <c r="O60" s="344" t="str">
        <f t="shared" si="0"/>
        <v/>
      </c>
      <c r="P60" s="59"/>
      <c r="Q60" s="120"/>
      <c r="R60" s="502"/>
      <c r="S60" s="502"/>
      <c r="T60" s="502"/>
      <c r="U60" s="502"/>
      <c r="V60" s="502"/>
      <c r="W60" s="502"/>
      <c r="X60" s="502"/>
      <c r="Y60" s="502"/>
      <c r="Z60" s="502"/>
      <c r="AA60" s="121"/>
      <c r="AB60" s="89"/>
      <c r="AC60" s="89"/>
      <c r="AD60" s="89"/>
      <c r="AE60" s="89"/>
      <c r="AF60" s="344" t="str">
        <f t="shared" si="1"/>
        <v/>
      </c>
      <c r="AG60" s="59"/>
      <c r="AH60" s="120"/>
      <c r="AI60" s="502"/>
      <c r="AJ60" s="502"/>
      <c r="AK60" s="502"/>
      <c r="AL60" s="502"/>
      <c r="AM60" s="502"/>
      <c r="AN60" s="502"/>
      <c r="AO60" s="502"/>
      <c r="AP60" s="502"/>
      <c r="AQ60" s="502"/>
      <c r="AR60" s="121"/>
      <c r="AS60" s="121"/>
      <c r="AT60" s="121"/>
      <c r="AU60" s="121"/>
      <c r="AV60" s="89"/>
      <c r="AW60" s="344" t="str">
        <f t="shared" si="2"/>
        <v/>
      </c>
      <c r="AX60" s="59"/>
      <c r="AY60" s="120"/>
      <c r="AZ60" s="502"/>
      <c r="BA60" s="502"/>
      <c r="BB60" s="502"/>
      <c r="BC60" s="502"/>
      <c r="BD60" s="502"/>
      <c r="BE60" s="502"/>
      <c r="BF60" s="502"/>
      <c r="BG60" s="89"/>
      <c r="BH60" s="89"/>
      <c r="BI60" s="344" t="str">
        <f t="shared" si="3"/>
        <v/>
      </c>
      <c r="BJ60" s="338"/>
      <c r="BK60" s="432"/>
      <c r="BL60" s="340"/>
      <c r="BM60" s="196" t="str">
        <f t="shared" si="11"/>
        <v/>
      </c>
      <c r="BN60" s="462" t="str">
        <f t="shared" si="12"/>
        <v/>
      </c>
      <c r="BO60" s="192" t="str">
        <f t="shared" si="13"/>
        <v xml:space="preserve"> </v>
      </c>
      <c r="BP60" s="460" t="str">
        <f>FILIACIÓN!Y58</f>
        <v/>
      </c>
      <c r="BQ60" s="460" t="str">
        <f t="shared" si="14"/>
        <v/>
      </c>
      <c r="BR60" s="460" t="str">
        <f t="shared" si="15"/>
        <v/>
      </c>
      <c r="BS60" s="460"/>
      <c r="BT60" s="535" t="str">
        <f>'1ER TRIMESTRE'!BM60</f>
        <v/>
      </c>
      <c r="BU60" s="535" t="str">
        <f>'2DO TRIMESTRE'!BM60</f>
        <v/>
      </c>
      <c r="BV60" s="535" t="str">
        <f t="shared" si="16"/>
        <v/>
      </c>
      <c r="BW60" s="534"/>
      <c r="BX60" s="534"/>
      <c r="BY60" s="534"/>
      <c r="BZ60" s="39"/>
      <c r="CA60" s="531" t="str">
        <f t="shared" si="17"/>
        <v/>
      </c>
      <c r="CB60" s="30" t="str">
        <f>IF(FILIACIÓN!Z58="MOSTRAR","1","")</f>
        <v/>
      </c>
      <c r="CC60" s="39">
        <v>48</v>
      </c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14"/>
      <c r="EF60" s="14"/>
      <c r="EG60" s="14"/>
      <c r="EH60" s="14"/>
      <c r="EI60" s="14"/>
      <c r="EJ60" s="14"/>
      <c r="EK60" s="14"/>
      <c r="EL60" s="14"/>
      <c r="EM60" s="14"/>
      <c r="EN60" s="14"/>
      <c r="EO60" s="14"/>
      <c r="EP60" s="14"/>
      <c r="EQ60" s="14"/>
      <c r="ER60" s="14"/>
      <c r="ES60" s="14"/>
      <c r="ET60" s="14"/>
      <c r="EU60" s="14"/>
      <c r="EV60" s="14"/>
      <c r="EW60" s="14"/>
      <c r="EX60" s="14"/>
      <c r="EY60" s="14"/>
      <c r="EZ60" s="14"/>
      <c r="FA60" s="14"/>
      <c r="FB60" s="14"/>
      <c r="FC60" s="14"/>
      <c r="FD60" s="14"/>
      <c r="FE60" s="14"/>
      <c r="FF60" s="14"/>
      <c r="FG60" s="14"/>
      <c r="FH60" s="14"/>
      <c r="FI60" s="14"/>
      <c r="FJ60" s="14"/>
      <c r="FK60" s="14"/>
      <c r="FL60" s="14"/>
      <c r="FM60" s="14"/>
      <c r="FN60" s="14"/>
      <c r="FO60" s="14"/>
      <c r="FP60" s="14"/>
      <c r="FQ60" s="14"/>
      <c r="FR60" s="14"/>
      <c r="FS60" s="14"/>
      <c r="FT60" s="14"/>
      <c r="FU60" s="14"/>
      <c r="FV60" s="14"/>
      <c r="FW60" s="14"/>
      <c r="FX60" s="14"/>
      <c r="FY60" s="14"/>
      <c r="FZ60" s="14"/>
      <c r="GA60" s="14"/>
      <c r="GB60" s="14"/>
      <c r="GC60" s="14"/>
      <c r="GD60" s="14"/>
      <c r="GE60" s="14"/>
      <c r="GF60" s="14"/>
      <c r="GG60" s="14"/>
      <c r="GH60" s="14"/>
      <c r="GI60" s="14"/>
      <c r="GJ60" s="14"/>
      <c r="GK60" s="14"/>
      <c r="GL60" s="14"/>
      <c r="GM60" s="14"/>
      <c r="GN60" s="14"/>
      <c r="GO60" s="14"/>
      <c r="GP60" s="14"/>
      <c r="GQ60" s="14"/>
      <c r="GR60" s="14"/>
      <c r="GS60" s="14"/>
      <c r="GT60" s="14"/>
      <c r="GU60" s="14"/>
      <c r="GV60" s="14"/>
      <c r="GW60" s="14"/>
      <c r="GX60" s="14"/>
      <c r="GY60" s="14"/>
      <c r="GZ60" s="14"/>
      <c r="HA60" s="14"/>
      <c r="HB60" s="14"/>
      <c r="HC60" s="14"/>
      <c r="HD60" s="14"/>
      <c r="HE60" s="14"/>
      <c r="HF60" s="14"/>
      <c r="HG60" s="14"/>
      <c r="HH60" s="14"/>
      <c r="HI60" s="14"/>
      <c r="HJ60" s="14"/>
      <c r="HK60" s="14"/>
      <c r="HL60" s="14"/>
      <c r="HM60" s="14"/>
      <c r="HN60" s="14"/>
      <c r="HO60" s="14"/>
      <c r="HP60" s="14"/>
      <c r="HQ60" s="14"/>
      <c r="HR60" s="14"/>
      <c r="HS60" s="14"/>
      <c r="HT60" s="14"/>
      <c r="HU60" s="14"/>
      <c r="HV60" s="14"/>
      <c r="HW60" s="14"/>
      <c r="HX60" s="14"/>
      <c r="HY60" s="14"/>
      <c r="HZ60" s="14"/>
      <c r="IA60" s="14"/>
      <c r="IB60" s="14"/>
      <c r="IC60" s="14"/>
      <c r="ID60" s="14"/>
      <c r="IE60" s="14"/>
      <c r="IF60" s="14"/>
      <c r="IG60" s="14"/>
      <c r="IH60" s="14"/>
      <c r="II60" s="14"/>
      <c r="IJ60" s="14"/>
      <c r="IK60" s="14"/>
      <c r="IL60" s="14"/>
      <c r="IM60" s="14"/>
      <c r="IN60" s="14"/>
      <c r="IO60" s="14"/>
      <c r="IP60" s="14"/>
      <c r="IQ60" s="14"/>
      <c r="IR60" s="14"/>
      <c r="IS60" s="14"/>
      <c r="IT60" s="14"/>
      <c r="IU60" s="14"/>
      <c r="IV60" s="14"/>
      <c r="IW60" s="14"/>
      <c r="IX60" s="14"/>
      <c r="IY60" s="14"/>
      <c r="IZ60" s="14"/>
      <c r="JA60" s="14"/>
      <c r="JB60" s="14"/>
      <c r="JC60" s="14"/>
      <c r="JD60" s="14"/>
      <c r="JE60" s="14"/>
      <c r="JF60" s="14"/>
      <c r="JG60" s="14"/>
      <c r="JH60" s="14"/>
      <c r="JI60" s="14"/>
      <c r="JJ60" s="14"/>
      <c r="JK60" s="14"/>
      <c r="JL60" s="14"/>
      <c r="JM60" s="14"/>
      <c r="JN60" s="14"/>
      <c r="JO60" s="14"/>
      <c r="JP60" s="14"/>
      <c r="JQ60" s="14"/>
      <c r="JR60" s="14"/>
      <c r="JS60" s="14"/>
      <c r="JT60" s="14"/>
      <c r="JU60" s="14"/>
      <c r="JV60" s="14"/>
      <c r="JW60" s="14"/>
      <c r="JX60" s="14"/>
      <c r="JY60" s="14"/>
      <c r="JZ60" s="14"/>
      <c r="KA60" s="14"/>
      <c r="KB60" s="14"/>
      <c r="KC60" s="14"/>
      <c r="KD60" s="14"/>
      <c r="KE60" s="14"/>
      <c r="KF60" s="14"/>
      <c r="KG60" s="14"/>
      <c r="KH60" s="14"/>
    </row>
    <row r="61" spans="1:294" s="31" customFormat="1" ht="27" hidden="1" customHeight="1">
      <c r="A61" s="92">
        <f>--SUBTOTAL(2,CC$12:CC61)</f>
        <v>49</v>
      </c>
      <c r="B61" s="733" t="str">
        <f>IF(FILIACIÓN!B59="","",UPPER(FILIACIÓN!B59))</f>
        <v/>
      </c>
      <c r="C61" s="734"/>
      <c r="D61" s="735"/>
      <c r="E61" s="465" t="str">
        <f>'ASISTENCIA 3'!CD62</f>
        <v/>
      </c>
      <c r="F61" s="544"/>
      <c r="G61" s="544"/>
      <c r="H61" s="544"/>
      <c r="I61" s="544"/>
      <c r="J61" s="544"/>
      <c r="K61" s="544"/>
      <c r="L61" s="544"/>
      <c r="M61" s="89"/>
      <c r="N61" s="89"/>
      <c r="O61" s="344" t="str">
        <f t="shared" si="0"/>
        <v/>
      </c>
      <c r="P61" s="59"/>
      <c r="Q61" s="120"/>
      <c r="R61" s="502"/>
      <c r="S61" s="502"/>
      <c r="T61" s="502"/>
      <c r="U61" s="502"/>
      <c r="V61" s="502"/>
      <c r="W61" s="502"/>
      <c r="X61" s="502"/>
      <c r="Y61" s="502"/>
      <c r="Z61" s="502"/>
      <c r="AA61" s="121"/>
      <c r="AB61" s="89"/>
      <c r="AC61" s="89"/>
      <c r="AD61" s="89"/>
      <c r="AE61" s="89"/>
      <c r="AF61" s="344" t="str">
        <f t="shared" si="1"/>
        <v/>
      </c>
      <c r="AG61" s="59"/>
      <c r="AH61" s="120"/>
      <c r="AI61" s="502"/>
      <c r="AJ61" s="502"/>
      <c r="AK61" s="502"/>
      <c r="AL61" s="502"/>
      <c r="AM61" s="502"/>
      <c r="AN61" s="502"/>
      <c r="AO61" s="502"/>
      <c r="AP61" s="502"/>
      <c r="AQ61" s="502"/>
      <c r="AR61" s="121"/>
      <c r="AS61" s="121"/>
      <c r="AT61" s="121"/>
      <c r="AU61" s="121"/>
      <c r="AV61" s="89"/>
      <c r="AW61" s="344" t="str">
        <f t="shared" si="2"/>
        <v/>
      </c>
      <c r="AX61" s="59"/>
      <c r="AY61" s="120"/>
      <c r="AZ61" s="502"/>
      <c r="BA61" s="502"/>
      <c r="BB61" s="502"/>
      <c r="BC61" s="502"/>
      <c r="BD61" s="502"/>
      <c r="BE61" s="502"/>
      <c r="BF61" s="502"/>
      <c r="BG61" s="89"/>
      <c r="BH61" s="89"/>
      <c r="BI61" s="344" t="str">
        <f t="shared" si="3"/>
        <v/>
      </c>
      <c r="BJ61" s="338"/>
      <c r="BK61" s="432"/>
      <c r="BL61" s="340"/>
      <c r="BM61" s="196" t="str">
        <f t="shared" si="4"/>
        <v/>
      </c>
      <c r="BN61" s="462" t="str">
        <f t="shared" si="5"/>
        <v/>
      </c>
      <c r="BO61" s="192" t="str">
        <f t="shared" si="6"/>
        <v xml:space="preserve"> </v>
      </c>
      <c r="BP61" s="460" t="str">
        <f>FILIACIÓN!Y59</f>
        <v/>
      </c>
      <c r="BQ61" s="460" t="str">
        <f t="shared" si="7"/>
        <v/>
      </c>
      <c r="BR61" s="460" t="str">
        <f t="shared" si="8"/>
        <v/>
      </c>
      <c r="BS61" s="460"/>
      <c r="BT61" s="425" t="str">
        <f>'1ER TRIMESTRE'!BM61</f>
        <v/>
      </c>
      <c r="BU61" s="425" t="str">
        <f>'2DO TRIMESTRE'!BM61</f>
        <v/>
      </c>
      <c r="BV61" s="425" t="str">
        <f t="shared" si="9"/>
        <v/>
      </c>
      <c r="BW61" s="82"/>
      <c r="BX61" s="82"/>
      <c r="BY61" s="82"/>
      <c r="BZ61" s="39"/>
      <c r="CA61" s="531" t="str">
        <f t="shared" si="10"/>
        <v/>
      </c>
      <c r="CB61" s="30" t="str">
        <f>IF(FILIACIÓN!Z59="MOSTRAR","1","")</f>
        <v/>
      </c>
      <c r="CC61" s="39">
        <v>49</v>
      </c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  <c r="IU61" s="14"/>
      <c r="IV61" s="14"/>
      <c r="IW61" s="14"/>
      <c r="IX61" s="14"/>
      <c r="IY61" s="14"/>
      <c r="IZ61" s="14"/>
      <c r="JA61" s="14"/>
      <c r="JB61" s="14"/>
      <c r="JC61" s="14"/>
      <c r="JD61" s="14"/>
      <c r="JE61" s="14"/>
      <c r="JF61" s="14"/>
      <c r="JG61" s="14"/>
      <c r="JH61" s="14"/>
      <c r="JI61" s="14"/>
      <c r="JJ61" s="14"/>
      <c r="JK61" s="14"/>
      <c r="JL61" s="14"/>
      <c r="JM61" s="14"/>
      <c r="JN61" s="14"/>
      <c r="JO61" s="14"/>
      <c r="JP61" s="14"/>
      <c r="JQ61" s="14"/>
      <c r="JR61" s="14"/>
      <c r="JS61" s="14"/>
      <c r="JT61" s="14"/>
      <c r="JU61" s="14"/>
      <c r="JV61" s="14"/>
      <c r="JW61" s="14"/>
      <c r="JX61" s="14"/>
      <c r="JY61" s="14"/>
      <c r="JZ61" s="14"/>
      <c r="KA61" s="14"/>
      <c r="KB61" s="14"/>
      <c r="KC61" s="14"/>
      <c r="KD61" s="14"/>
      <c r="KE61" s="14"/>
      <c r="KF61" s="14"/>
      <c r="KG61" s="14"/>
      <c r="KH61" s="14"/>
    </row>
    <row r="62" spans="1:294" s="31" customFormat="1" ht="27" hidden="1" customHeight="1" thickBot="1">
      <c r="A62" s="93">
        <f>--SUBTOTAL(2,CC$12:CC62)</f>
        <v>50</v>
      </c>
      <c r="B62" s="742" t="str">
        <f>IF(FILIACIÓN!B60="","",UPPER(FILIACIÓN!B60))</f>
        <v/>
      </c>
      <c r="C62" s="743"/>
      <c r="D62" s="744"/>
      <c r="E62" s="466" t="str">
        <f>'ASISTENCIA 3'!CD63</f>
        <v/>
      </c>
      <c r="F62" s="545"/>
      <c r="G62" s="545"/>
      <c r="H62" s="545"/>
      <c r="I62" s="545"/>
      <c r="J62" s="545"/>
      <c r="K62" s="545"/>
      <c r="L62" s="545"/>
      <c r="M62" s="90"/>
      <c r="N62" s="90"/>
      <c r="O62" s="345" t="str">
        <f t="shared" si="0"/>
        <v/>
      </c>
      <c r="P62" s="59"/>
      <c r="Q62" s="122"/>
      <c r="R62" s="503"/>
      <c r="S62" s="503"/>
      <c r="T62" s="503"/>
      <c r="U62" s="503"/>
      <c r="V62" s="503"/>
      <c r="W62" s="503"/>
      <c r="X62" s="503"/>
      <c r="Y62" s="503"/>
      <c r="Z62" s="503"/>
      <c r="AA62" s="123"/>
      <c r="AB62" s="90"/>
      <c r="AC62" s="90"/>
      <c r="AD62" s="90"/>
      <c r="AE62" s="90"/>
      <c r="AF62" s="345" t="str">
        <f t="shared" si="1"/>
        <v/>
      </c>
      <c r="AG62" s="59"/>
      <c r="AH62" s="122"/>
      <c r="AI62" s="503"/>
      <c r="AJ62" s="503"/>
      <c r="AK62" s="503"/>
      <c r="AL62" s="503"/>
      <c r="AM62" s="503"/>
      <c r="AN62" s="503"/>
      <c r="AO62" s="503"/>
      <c r="AP62" s="503"/>
      <c r="AQ62" s="503"/>
      <c r="AR62" s="123"/>
      <c r="AS62" s="123"/>
      <c r="AT62" s="123"/>
      <c r="AU62" s="123"/>
      <c r="AV62" s="90"/>
      <c r="AW62" s="345" t="str">
        <f t="shared" si="2"/>
        <v/>
      </c>
      <c r="AX62" s="59"/>
      <c r="AY62" s="122"/>
      <c r="AZ62" s="503"/>
      <c r="BA62" s="503"/>
      <c r="BB62" s="503"/>
      <c r="BC62" s="503"/>
      <c r="BD62" s="503"/>
      <c r="BE62" s="503"/>
      <c r="BF62" s="503"/>
      <c r="BG62" s="90"/>
      <c r="BH62" s="90"/>
      <c r="BI62" s="345" t="str">
        <f t="shared" si="3"/>
        <v/>
      </c>
      <c r="BJ62" s="338"/>
      <c r="BK62" s="433"/>
      <c r="BL62" s="340"/>
      <c r="BM62" s="197" t="str">
        <f t="shared" si="4"/>
        <v/>
      </c>
      <c r="BN62" s="463" t="str">
        <f t="shared" si="5"/>
        <v/>
      </c>
      <c r="BO62" s="193" t="str">
        <f t="shared" ref="BO62" si="18">IF(AND(BM62&gt;=1,BM62&lt;=50),"ED",IF(AND(BM62&gt;=51,BM62&lt;=68),"DA",IF(AND(BM62&gt;=69,BM62&lt;=84),"DO",IF(AND(BM62&gt;=85,BM62&lt;=100),"DP"," "))))</f>
        <v xml:space="preserve"> </v>
      </c>
      <c r="BP62" s="460" t="str">
        <f>FILIACIÓN!Y60</f>
        <v/>
      </c>
      <c r="BQ62" s="460" t="str">
        <f t="shared" si="7"/>
        <v/>
      </c>
      <c r="BR62" s="460" t="str">
        <f t="shared" si="8"/>
        <v/>
      </c>
      <c r="BS62" s="460"/>
      <c r="BT62" s="425" t="str">
        <f>'1ER TRIMESTRE'!BM62</f>
        <v/>
      </c>
      <c r="BU62" s="425" t="str">
        <f>'2DO TRIMESTRE'!BM62</f>
        <v/>
      </c>
      <c r="BV62" s="425" t="str">
        <f t="shared" si="9"/>
        <v/>
      </c>
      <c r="BW62" s="124"/>
      <c r="BX62" s="124"/>
      <c r="BY62" s="124"/>
      <c r="BZ62" s="39"/>
      <c r="CA62" s="531" t="str">
        <f>IF(OR(BN62="",BN62=0),"",_xlfn.RANK.EQ(BN62,$BN$13:$BN$62))</f>
        <v/>
      </c>
      <c r="CB62" s="30" t="str">
        <f>IF(FILIACIÓN!Z60="MOSTRAR","1","")</f>
        <v/>
      </c>
      <c r="CC62" s="39">
        <v>50</v>
      </c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  <c r="IT62" s="14"/>
      <c r="IU62" s="14"/>
      <c r="IV62" s="14"/>
      <c r="IW62" s="14"/>
      <c r="IX62" s="14"/>
      <c r="IY62" s="14"/>
      <c r="IZ62" s="14"/>
      <c r="JA62" s="14"/>
      <c r="JB62" s="14"/>
      <c r="JC62" s="14"/>
      <c r="JD62" s="14"/>
      <c r="JE62" s="14"/>
      <c r="JF62" s="14"/>
      <c r="JG62" s="14"/>
      <c r="JH62" s="14"/>
      <c r="JI62" s="14"/>
      <c r="JJ62" s="14"/>
      <c r="JK62" s="14"/>
      <c r="JL62" s="14"/>
      <c r="JM62" s="14"/>
      <c r="JN62" s="14"/>
      <c r="JO62" s="14"/>
      <c r="JP62" s="14"/>
      <c r="JQ62" s="14"/>
      <c r="JR62" s="14"/>
      <c r="JS62" s="14"/>
      <c r="JT62" s="14"/>
      <c r="JU62" s="14"/>
      <c r="JV62" s="14"/>
      <c r="JW62" s="14"/>
      <c r="JX62" s="14"/>
      <c r="JY62" s="14"/>
      <c r="JZ62" s="14"/>
      <c r="KA62" s="14"/>
      <c r="KB62" s="14"/>
      <c r="KC62" s="14"/>
      <c r="KD62" s="14"/>
      <c r="KE62" s="14"/>
      <c r="KF62" s="14"/>
      <c r="KG62" s="14"/>
      <c r="KH62" s="14"/>
    </row>
    <row r="63" spans="1:294" ht="15" customHeight="1">
      <c r="A63" s="60"/>
      <c r="B63" s="6"/>
      <c r="C63" s="6"/>
      <c r="D63" s="6"/>
      <c r="E63" s="6"/>
      <c r="F63" s="351"/>
      <c r="G63" s="351"/>
      <c r="H63" s="351"/>
      <c r="I63" s="351"/>
      <c r="J63" s="351"/>
      <c r="K63" s="351"/>
      <c r="L63" s="351"/>
      <c r="M63" s="6"/>
      <c r="N63" s="6"/>
      <c r="O63" s="23"/>
      <c r="AY63" s="6"/>
      <c r="AZ63" s="351"/>
      <c r="BA63" s="351"/>
      <c r="BB63" s="351"/>
      <c r="BC63" s="351"/>
      <c r="BD63" s="351"/>
      <c r="BE63" s="351"/>
      <c r="BF63" s="351"/>
      <c r="BG63" s="6"/>
      <c r="BH63" s="6"/>
      <c r="BI63" s="51"/>
    </row>
    <row r="64" spans="1:294" ht="17.25" customHeight="1">
      <c r="B64" s="504" t="s">
        <v>211</v>
      </c>
      <c r="C64" s="504" t="s">
        <v>213</v>
      </c>
      <c r="D64" s="504" t="s">
        <v>212</v>
      </c>
    </row>
    <row r="65" spans="2:97" ht="15" customHeight="1">
      <c r="B65" s="218" t="s">
        <v>214</v>
      </c>
      <c r="C65" s="216" t="s">
        <v>218</v>
      </c>
      <c r="D65" s="242" t="s">
        <v>222</v>
      </c>
    </row>
    <row r="66" spans="2:97" ht="18" customHeight="1">
      <c r="B66" s="218" t="s">
        <v>215</v>
      </c>
      <c r="C66" s="216" t="s">
        <v>219</v>
      </c>
      <c r="D66" s="242" t="s">
        <v>223</v>
      </c>
      <c r="E66" s="206"/>
      <c r="F66" s="359"/>
      <c r="G66" s="359"/>
      <c r="H66" s="359"/>
      <c r="I66" s="359"/>
      <c r="J66" s="359"/>
      <c r="K66" s="359"/>
      <c r="L66" s="359"/>
      <c r="M66" s="206"/>
      <c r="N66" s="206"/>
      <c r="O66" s="206"/>
      <c r="P66" s="206"/>
      <c r="Q66" s="687"/>
      <c r="R66" s="687"/>
      <c r="S66" s="687"/>
      <c r="T66" s="687"/>
      <c r="U66" s="687"/>
      <c r="V66" s="687"/>
      <c r="W66" s="687"/>
      <c r="X66" s="687"/>
      <c r="Y66" s="687"/>
      <c r="Z66" s="687"/>
      <c r="AA66" s="687"/>
      <c r="AB66" s="265"/>
      <c r="AC66" s="265"/>
      <c r="AD66" s="265"/>
      <c r="AE66" s="265"/>
      <c r="AF66" s="266"/>
      <c r="AG66" s="206"/>
      <c r="AH66" s="206"/>
      <c r="AI66" s="359"/>
      <c r="AJ66" s="359"/>
      <c r="AK66" s="359"/>
      <c r="AL66" s="359"/>
      <c r="AM66" s="359"/>
      <c r="AN66" s="359"/>
      <c r="AO66" s="359"/>
      <c r="AP66" s="359"/>
      <c r="AQ66" s="359"/>
      <c r="AR66" s="206"/>
      <c r="AS66" s="359"/>
      <c r="AT66" s="206"/>
      <c r="AU66" s="206"/>
      <c r="AY66" s="206"/>
      <c r="AZ66" s="359"/>
      <c r="BA66" s="359"/>
      <c r="BB66" s="359"/>
      <c r="BC66" s="359"/>
      <c r="BD66" s="359"/>
      <c r="BE66" s="359"/>
      <c r="BF66" s="359"/>
      <c r="BG66" s="206"/>
      <c r="BH66" s="206"/>
      <c r="BI66" s="206"/>
    </row>
    <row r="67" spans="2:97" ht="18.75" customHeight="1">
      <c r="B67" s="218" t="s">
        <v>216</v>
      </c>
      <c r="C67" s="216" t="s">
        <v>220</v>
      </c>
      <c r="D67" s="242" t="s">
        <v>224</v>
      </c>
      <c r="E67" s="206"/>
      <c r="F67" s="359"/>
      <c r="G67" s="359"/>
      <c r="H67" s="359"/>
      <c r="I67" s="359"/>
      <c r="J67" s="359"/>
      <c r="K67" s="359"/>
      <c r="L67" s="359"/>
      <c r="M67" s="206"/>
      <c r="N67" s="206"/>
      <c r="O67" s="206"/>
      <c r="P67" s="206"/>
      <c r="Q67" s="273"/>
      <c r="R67" s="273"/>
      <c r="S67" s="273"/>
      <c r="T67" s="273"/>
      <c r="U67" s="273"/>
      <c r="V67" s="273"/>
      <c r="W67" s="273"/>
      <c r="X67" s="273"/>
      <c r="Y67" s="273"/>
      <c r="Z67" s="273"/>
      <c r="AA67" s="273"/>
      <c r="AB67" s="267"/>
      <c r="AC67" s="267"/>
      <c r="AD67" s="267"/>
      <c r="AE67" s="267"/>
      <c r="AF67" s="221"/>
      <c r="AG67" s="206"/>
      <c r="AH67" s="206"/>
      <c r="AI67" s="359"/>
      <c r="AJ67" s="359"/>
      <c r="AK67" s="359"/>
      <c r="AL67" s="359"/>
      <c r="AM67" s="359"/>
      <c r="AN67" s="359"/>
      <c r="AO67" s="359"/>
      <c r="AP67" s="359"/>
      <c r="AQ67" s="359"/>
      <c r="AR67" s="206"/>
      <c r="AS67" s="359"/>
      <c r="AT67" s="206"/>
      <c r="AU67" s="206"/>
      <c r="AY67" s="206"/>
      <c r="AZ67" s="359"/>
      <c r="BA67" s="359"/>
      <c r="BB67" s="359"/>
      <c r="BC67" s="359"/>
      <c r="BD67" s="359"/>
      <c r="BE67" s="359"/>
      <c r="BF67" s="359"/>
      <c r="BG67" s="206"/>
      <c r="BH67" s="206"/>
      <c r="BI67" s="206"/>
    </row>
    <row r="68" spans="2:97" ht="18.75" customHeight="1">
      <c r="B68" s="218" t="s">
        <v>217</v>
      </c>
      <c r="C68" s="216" t="s">
        <v>221</v>
      </c>
      <c r="D68" s="242" t="s">
        <v>225</v>
      </c>
      <c r="E68" s="206"/>
      <c r="F68" s="359"/>
      <c r="G68" s="359"/>
      <c r="H68" s="359"/>
      <c r="I68" s="359"/>
      <c r="J68" s="359"/>
      <c r="K68" s="359"/>
      <c r="L68" s="359"/>
      <c r="M68" s="206"/>
      <c r="N68" s="206"/>
      <c r="O68" s="206"/>
      <c r="P68" s="206"/>
      <c r="Q68" s="265"/>
      <c r="R68" s="265"/>
      <c r="S68" s="265"/>
      <c r="T68" s="265"/>
      <c r="U68" s="265"/>
      <c r="V68" s="265"/>
      <c r="W68" s="265"/>
      <c r="X68" s="265"/>
      <c r="Y68" s="265"/>
      <c r="Z68" s="265"/>
      <c r="AA68" s="265"/>
      <c r="AB68" s="267"/>
      <c r="AC68" s="267"/>
      <c r="AD68" s="267"/>
      <c r="AE68" s="267"/>
      <c r="AF68" s="274"/>
      <c r="AG68" s="206"/>
      <c r="AH68" s="206"/>
      <c r="AI68" s="359"/>
      <c r="AJ68" s="359"/>
      <c r="AK68" s="359"/>
      <c r="AL68" s="359"/>
      <c r="AM68" s="359"/>
      <c r="AN68" s="359"/>
      <c r="AO68" s="359"/>
      <c r="AP68" s="359"/>
      <c r="AQ68" s="359"/>
      <c r="AR68" s="206"/>
      <c r="AS68" s="359"/>
      <c r="AT68" s="206"/>
      <c r="AU68" s="206"/>
      <c r="AY68" s="206"/>
      <c r="AZ68" s="359"/>
      <c r="BA68" s="359"/>
      <c r="BB68" s="359"/>
      <c r="BC68" s="359"/>
      <c r="BD68" s="359"/>
      <c r="BE68" s="359"/>
      <c r="BF68" s="359"/>
      <c r="BG68" s="206"/>
      <c r="BH68" s="206"/>
      <c r="BI68" s="206"/>
      <c r="BY68" s="82"/>
      <c r="BZ68" s="39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</row>
    <row r="69" spans="2:97" ht="18.75" customHeight="1">
      <c r="E69" s="206"/>
      <c r="F69" s="359"/>
      <c r="G69" s="359"/>
      <c r="H69" s="359"/>
      <c r="I69" s="359"/>
      <c r="J69" s="359"/>
      <c r="K69" s="359"/>
      <c r="L69" s="359"/>
      <c r="M69" s="206"/>
      <c r="N69" s="206"/>
      <c r="O69" s="206"/>
      <c r="P69" s="206"/>
      <c r="Q69" s="265"/>
      <c r="R69" s="265"/>
      <c r="S69" s="265"/>
      <c r="T69" s="265"/>
      <c r="U69" s="265"/>
      <c r="V69" s="265"/>
      <c r="W69" s="265"/>
      <c r="X69" s="265"/>
      <c r="Y69" s="265"/>
      <c r="Z69" s="265"/>
      <c r="AA69" s="265"/>
      <c r="AB69" s="267"/>
      <c r="AC69" s="267"/>
      <c r="AD69" s="267"/>
      <c r="AE69" s="267"/>
      <c r="AF69" s="274"/>
      <c r="AG69" s="206"/>
      <c r="AH69" s="206"/>
      <c r="AI69" s="359"/>
      <c r="AJ69" s="359"/>
      <c r="AK69" s="359"/>
      <c r="AL69" s="359"/>
      <c r="AM69" s="359"/>
      <c r="AN69" s="359"/>
      <c r="AO69" s="359"/>
      <c r="AP69" s="359"/>
      <c r="AQ69" s="359"/>
      <c r="AR69" s="206"/>
      <c r="AS69" s="359"/>
      <c r="AT69" s="206"/>
      <c r="AU69" s="206"/>
      <c r="AY69" s="206"/>
      <c r="AZ69" s="359"/>
      <c r="BA69" s="359"/>
      <c r="BB69" s="359"/>
      <c r="BC69" s="359"/>
      <c r="BD69" s="359"/>
      <c r="BE69" s="359"/>
      <c r="BF69" s="359"/>
      <c r="BG69" s="206"/>
      <c r="BH69" s="206"/>
      <c r="BI69" s="206"/>
      <c r="BY69" s="82"/>
    </row>
    <row r="70" spans="2:97" ht="18.75" customHeight="1">
      <c r="B70" s="508" t="s">
        <v>314</v>
      </c>
      <c r="C70" s="508" t="s">
        <v>24</v>
      </c>
      <c r="E70" s="206"/>
      <c r="F70" s="359"/>
      <c r="G70" s="359"/>
      <c r="H70" s="359"/>
      <c r="I70" s="359"/>
      <c r="J70" s="359"/>
      <c r="K70" s="359"/>
      <c r="L70" s="359"/>
      <c r="M70" s="206"/>
      <c r="N70" s="206"/>
      <c r="O70" s="206"/>
      <c r="P70" s="206"/>
      <c r="Q70" s="268"/>
      <c r="R70" s="268"/>
      <c r="S70" s="268"/>
      <c r="T70" s="268"/>
      <c r="U70" s="268"/>
      <c r="V70" s="268"/>
      <c r="W70" s="268"/>
      <c r="X70" s="268"/>
      <c r="Y70" s="268"/>
      <c r="Z70" s="268"/>
      <c r="AA70" s="268"/>
      <c r="AB70" s="271"/>
      <c r="AC70" s="271"/>
      <c r="AD70" s="271"/>
      <c r="AE70" s="271"/>
      <c r="AF70" s="274"/>
      <c r="AG70" s="206"/>
      <c r="AH70" s="206"/>
      <c r="AI70" s="359"/>
      <c r="AJ70" s="359"/>
      <c r="AK70" s="359"/>
      <c r="AL70" s="359"/>
      <c r="AM70" s="359"/>
      <c r="AN70" s="359"/>
      <c r="AO70" s="359"/>
      <c r="AP70" s="359"/>
      <c r="AQ70" s="359"/>
      <c r="AR70" s="206"/>
      <c r="AS70" s="359"/>
      <c r="AT70" s="206"/>
      <c r="AU70" s="206"/>
      <c r="AY70" s="206"/>
      <c r="AZ70" s="359"/>
      <c r="BA70" s="359"/>
      <c r="BB70" s="359"/>
      <c r="BC70" s="359"/>
      <c r="BD70" s="359"/>
      <c r="BE70" s="359"/>
      <c r="BF70" s="359"/>
      <c r="BG70" s="206"/>
      <c r="BH70" s="206"/>
      <c r="BI70" s="206"/>
      <c r="BY70" s="82"/>
    </row>
    <row r="71" spans="2:97" ht="18.75" customHeight="1">
      <c r="B71" s="509" t="s">
        <v>259</v>
      </c>
      <c r="C71" s="510">
        <v>3</v>
      </c>
      <c r="E71" s="206"/>
      <c r="F71" s="359"/>
      <c r="G71" s="359"/>
      <c r="H71" s="359"/>
      <c r="I71" s="359"/>
      <c r="J71" s="359"/>
      <c r="K71" s="359"/>
      <c r="L71" s="359"/>
      <c r="M71" s="206"/>
      <c r="N71" s="206"/>
      <c r="O71" s="206"/>
      <c r="P71" s="206"/>
      <c r="Q71" s="262"/>
      <c r="R71" s="262"/>
      <c r="S71" s="262"/>
      <c r="T71" s="262"/>
      <c r="U71" s="262"/>
      <c r="V71" s="262"/>
      <c r="W71" s="262"/>
      <c r="X71" s="262"/>
      <c r="Y71" s="262"/>
      <c r="Z71" s="262"/>
      <c r="AA71" s="262"/>
      <c r="AB71" s="263"/>
      <c r="AC71" s="263"/>
      <c r="AD71" s="263"/>
      <c r="AE71" s="263"/>
      <c r="AF71" s="264"/>
      <c r="AG71" s="206"/>
      <c r="AH71" s="206"/>
      <c r="AI71" s="359"/>
      <c r="AJ71" s="359"/>
      <c r="AK71" s="359"/>
      <c r="AL71" s="359"/>
      <c r="AM71" s="359"/>
      <c r="AN71" s="359"/>
      <c r="AO71" s="359"/>
      <c r="AP71" s="359"/>
      <c r="AQ71" s="359"/>
      <c r="AR71" s="206"/>
      <c r="AS71" s="359"/>
      <c r="AT71" s="206"/>
      <c r="AU71" s="206"/>
      <c r="AY71" s="206"/>
      <c r="AZ71" s="359"/>
      <c r="BA71" s="359"/>
      <c r="BB71" s="359"/>
      <c r="BC71" s="359"/>
      <c r="BD71" s="359"/>
      <c r="BE71" s="359"/>
      <c r="BF71" s="359"/>
      <c r="BG71" s="206"/>
      <c r="BH71" s="206"/>
      <c r="BI71" s="206"/>
      <c r="BX71" s="215"/>
      <c r="BY71" s="82"/>
    </row>
    <row r="72" spans="2:97" ht="15" customHeight="1">
      <c r="B72" s="509" t="s">
        <v>315</v>
      </c>
      <c r="C72" s="510">
        <v>3</v>
      </c>
      <c r="E72" s="206"/>
      <c r="F72" s="359"/>
      <c r="G72" s="359"/>
      <c r="H72" s="359"/>
      <c r="I72" s="359"/>
      <c r="J72" s="359"/>
      <c r="K72" s="359"/>
      <c r="L72" s="359"/>
      <c r="M72" s="206"/>
      <c r="N72" s="206"/>
      <c r="O72" s="206"/>
      <c r="P72" s="206"/>
      <c r="Q72" s="206"/>
      <c r="R72" s="359"/>
      <c r="S72" s="359"/>
      <c r="T72" s="359"/>
      <c r="U72" s="359"/>
      <c r="V72" s="359"/>
      <c r="W72" s="359"/>
      <c r="X72" s="359"/>
      <c r="Y72" s="359"/>
      <c r="Z72" s="359"/>
      <c r="AA72" s="206"/>
      <c r="AB72" s="206"/>
      <c r="AC72" s="359"/>
      <c r="AD72" s="206"/>
      <c r="AE72" s="206"/>
      <c r="AF72" s="206"/>
      <c r="AG72" s="206"/>
      <c r="AH72" s="206"/>
      <c r="AI72" s="359"/>
      <c r="AJ72" s="359"/>
      <c r="AK72" s="359"/>
      <c r="AL72" s="359"/>
      <c r="AM72" s="359"/>
      <c r="AN72" s="359"/>
      <c r="AO72" s="359"/>
      <c r="AP72" s="359"/>
      <c r="AQ72" s="359"/>
      <c r="AR72" s="206"/>
      <c r="AS72" s="359"/>
      <c r="AT72" s="206"/>
      <c r="AU72" s="206"/>
      <c r="AY72" s="206"/>
      <c r="AZ72" s="359"/>
      <c r="BA72" s="359"/>
      <c r="BB72" s="359"/>
      <c r="BC72" s="359"/>
      <c r="BD72" s="359"/>
      <c r="BE72" s="359"/>
      <c r="BF72" s="359"/>
      <c r="BG72" s="206"/>
      <c r="BH72" s="206"/>
      <c r="BI72" s="206"/>
      <c r="BY72" s="39"/>
      <c r="BZ72" s="39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</row>
    <row r="73" spans="2:97" ht="19.5" customHeight="1">
      <c r="B73" s="509" t="s">
        <v>316</v>
      </c>
      <c r="C73" s="510">
        <v>3</v>
      </c>
      <c r="E73" s="265"/>
      <c r="F73" s="265"/>
      <c r="G73" s="265"/>
      <c r="H73" s="265"/>
      <c r="I73" s="265"/>
      <c r="J73" s="265"/>
      <c r="K73" s="265"/>
      <c r="L73" s="265"/>
      <c r="M73" s="265"/>
      <c r="N73" s="265"/>
      <c r="O73" s="265"/>
      <c r="P73" s="265"/>
      <c r="Q73" s="265"/>
      <c r="R73" s="265"/>
      <c r="S73" s="265"/>
      <c r="T73" s="265"/>
      <c r="U73" s="265"/>
      <c r="V73" s="265"/>
      <c r="W73" s="265"/>
      <c r="X73" s="265"/>
      <c r="Y73" s="265"/>
      <c r="Z73" s="265"/>
      <c r="AA73" s="265"/>
      <c r="AB73" s="265"/>
      <c r="AC73" s="265"/>
      <c r="AD73" s="265"/>
      <c r="AE73" s="265"/>
      <c r="AF73" s="265"/>
      <c r="AG73" s="265"/>
      <c r="AH73" s="265"/>
      <c r="AI73" s="265"/>
      <c r="AJ73" s="265"/>
      <c r="AK73" s="265"/>
      <c r="AL73" s="265"/>
      <c r="AM73" s="265"/>
      <c r="AN73" s="265"/>
      <c r="AO73" s="265"/>
      <c r="AP73" s="265"/>
      <c r="AQ73" s="265"/>
      <c r="AR73" s="265"/>
      <c r="AS73" s="265"/>
      <c r="AT73" s="265"/>
      <c r="AU73" s="265"/>
      <c r="AY73" s="265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W73" s="107"/>
      <c r="BX73" s="107"/>
      <c r="BY73" s="40"/>
      <c r="BZ73" s="40"/>
      <c r="CA73" s="108"/>
      <c r="CB73" s="108"/>
      <c r="CC73" s="108"/>
      <c r="CD73" s="108"/>
      <c r="CE73" s="108"/>
      <c r="CF73" s="108"/>
      <c r="CG73" s="108"/>
      <c r="CH73" s="108"/>
      <c r="CI73" s="108"/>
      <c r="CJ73" s="108"/>
      <c r="CK73" s="108"/>
      <c r="CL73" s="108"/>
      <c r="CM73" s="108"/>
      <c r="CN73" s="108"/>
      <c r="CO73" s="108"/>
      <c r="CP73" s="108"/>
      <c r="CQ73" s="108"/>
      <c r="CR73" s="108"/>
      <c r="CS73" s="108"/>
    </row>
    <row r="74" spans="2:97" ht="19.5" customHeight="1">
      <c r="B74" s="509" t="s">
        <v>260</v>
      </c>
      <c r="C74" s="510">
        <v>3</v>
      </c>
      <c r="E74" s="265"/>
      <c r="F74" s="265"/>
      <c r="G74" s="265"/>
      <c r="H74" s="265"/>
      <c r="I74" s="265"/>
      <c r="J74" s="265"/>
      <c r="K74" s="265"/>
      <c r="L74" s="265"/>
      <c r="M74" s="265"/>
      <c r="N74" s="265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65"/>
      <c r="AC74" s="265"/>
      <c r="AD74" s="265"/>
      <c r="AE74" s="265"/>
      <c r="AF74" s="265"/>
      <c r="AG74" s="206"/>
      <c r="AH74" s="265"/>
      <c r="AI74" s="265"/>
      <c r="AJ74" s="265"/>
      <c r="AK74" s="265"/>
      <c r="AL74" s="265"/>
      <c r="AM74" s="265"/>
      <c r="AN74" s="265"/>
      <c r="AO74" s="265"/>
      <c r="AP74" s="265"/>
      <c r="AQ74" s="265"/>
      <c r="AR74" s="265"/>
      <c r="AS74" s="265"/>
      <c r="AT74" s="265"/>
      <c r="AU74" s="265"/>
      <c r="AY74" s="265"/>
      <c r="AZ74" s="265"/>
      <c r="BA74" s="265"/>
      <c r="BB74" s="265"/>
      <c r="BC74" s="265"/>
      <c r="BD74" s="265"/>
      <c r="BE74" s="265"/>
      <c r="BF74" s="265"/>
      <c r="BG74" s="265"/>
      <c r="BH74" s="265"/>
      <c r="BI74" s="272"/>
      <c r="BW74" s="107"/>
      <c r="BX74" s="107"/>
      <c r="BY74" s="39"/>
      <c r="BZ74" s="39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</row>
    <row r="75" spans="2:97" ht="19.5" customHeight="1">
      <c r="E75" s="265"/>
      <c r="F75" s="265"/>
      <c r="G75" s="265"/>
      <c r="H75" s="265"/>
      <c r="I75" s="265"/>
      <c r="J75" s="265"/>
      <c r="K75" s="265"/>
      <c r="L75" s="265"/>
      <c r="M75" s="265"/>
      <c r="N75" s="265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65"/>
      <c r="AC75" s="265"/>
      <c r="AD75" s="265"/>
      <c r="AE75" s="265"/>
      <c r="AF75" s="266"/>
      <c r="AG75" s="206"/>
      <c r="AH75" s="265"/>
      <c r="AI75" s="265"/>
      <c r="AJ75" s="265"/>
      <c r="AK75" s="265"/>
      <c r="AL75" s="265"/>
      <c r="AM75" s="265"/>
      <c r="AN75" s="265"/>
      <c r="AO75" s="265"/>
      <c r="AP75" s="265"/>
      <c r="AQ75" s="265"/>
      <c r="AR75" s="265"/>
      <c r="AS75" s="265"/>
      <c r="AT75" s="266"/>
      <c r="AU75" s="265"/>
      <c r="AY75" s="265"/>
      <c r="AZ75" s="265"/>
      <c r="BA75" s="265"/>
      <c r="BB75" s="265"/>
      <c r="BC75" s="265"/>
      <c r="BD75" s="265"/>
      <c r="BE75" s="265"/>
      <c r="BF75" s="265"/>
      <c r="BG75" s="265"/>
      <c r="BH75" s="265"/>
      <c r="BI75" s="272"/>
      <c r="BW75" s="107"/>
      <c r="BX75" s="107"/>
      <c r="BY75" s="39"/>
      <c r="BZ75" s="39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</row>
    <row r="76" spans="2:97" ht="19.5" customHeight="1">
      <c r="E76" s="206"/>
      <c r="F76" s="359"/>
      <c r="G76" s="359"/>
      <c r="H76" s="359"/>
      <c r="I76" s="359"/>
      <c r="J76" s="359"/>
      <c r="K76" s="359"/>
      <c r="L76" s="359"/>
      <c r="M76" s="267"/>
      <c r="N76" s="267"/>
      <c r="O76" s="206"/>
      <c r="P76" s="267"/>
      <c r="Q76" s="206"/>
      <c r="R76" s="359"/>
      <c r="S76" s="359"/>
      <c r="T76" s="359"/>
      <c r="U76" s="359"/>
      <c r="V76" s="359"/>
      <c r="W76" s="359"/>
      <c r="X76" s="359"/>
      <c r="Y76" s="359"/>
      <c r="Z76" s="359"/>
      <c r="AA76" s="267"/>
      <c r="AB76" s="206"/>
      <c r="AC76" s="359"/>
      <c r="AD76" s="267"/>
      <c r="AE76" s="267"/>
      <c r="AF76" s="206"/>
      <c r="AG76" s="206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  <c r="AR76" s="267"/>
      <c r="AS76" s="267"/>
      <c r="AT76" s="221"/>
      <c r="AU76" s="267"/>
      <c r="AY76" s="206"/>
      <c r="AZ76" s="359"/>
      <c r="BA76" s="359"/>
      <c r="BB76" s="359"/>
      <c r="BC76" s="359"/>
      <c r="BD76" s="359"/>
      <c r="BE76" s="359"/>
      <c r="BF76" s="359"/>
      <c r="BG76" s="206"/>
      <c r="BH76" s="267"/>
      <c r="BI76" s="206"/>
      <c r="BW76" s="107"/>
      <c r="BX76" s="107"/>
      <c r="BY76" s="39"/>
      <c r="BZ76" s="39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</row>
    <row r="77" spans="2:97" ht="15" customHeight="1">
      <c r="E77" s="206"/>
      <c r="F77" s="359"/>
      <c r="G77" s="359"/>
      <c r="H77" s="359"/>
      <c r="I77" s="359"/>
      <c r="J77" s="359"/>
      <c r="K77" s="359"/>
      <c r="L77" s="359"/>
      <c r="M77" s="206"/>
      <c r="N77" s="206"/>
      <c r="O77" s="206"/>
      <c r="P77" s="206"/>
      <c r="Q77" s="206"/>
      <c r="R77" s="359"/>
      <c r="S77" s="359"/>
      <c r="T77" s="359"/>
      <c r="U77" s="359"/>
      <c r="V77" s="359"/>
      <c r="W77" s="359"/>
      <c r="X77" s="359"/>
      <c r="Y77" s="359"/>
      <c r="Z77" s="359"/>
      <c r="AA77" s="206"/>
      <c r="AB77" s="206"/>
      <c r="AC77" s="359"/>
      <c r="AD77" s="206"/>
      <c r="AE77" s="206"/>
      <c r="AF77" s="206"/>
      <c r="AG77" s="206"/>
      <c r="AH77" s="206"/>
      <c r="AI77" s="359"/>
      <c r="AJ77" s="359"/>
      <c r="AK77" s="359"/>
      <c r="AL77" s="359"/>
      <c r="AM77" s="359"/>
      <c r="AN77" s="359"/>
      <c r="AO77" s="359"/>
      <c r="AP77" s="359"/>
      <c r="AQ77" s="359"/>
      <c r="AR77" s="206"/>
      <c r="AS77" s="359"/>
      <c r="AT77" s="206"/>
      <c r="AU77" s="206"/>
      <c r="AY77" s="206"/>
      <c r="AZ77" s="359"/>
      <c r="BA77" s="359"/>
      <c r="BB77" s="359"/>
      <c r="BC77" s="359"/>
      <c r="BD77" s="359"/>
      <c r="BE77" s="359"/>
      <c r="BF77" s="359"/>
      <c r="BG77" s="206"/>
      <c r="BH77" s="206"/>
      <c r="BI77" s="206"/>
      <c r="BY77" s="39"/>
      <c r="BZ77" s="39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</row>
    <row r="78" spans="2:97" ht="15" customHeight="1">
      <c r="E78" s="206"/>
      <c r="F78" s="359"/>
      <c r="G78" s="359"/>
      <c r="H78" s="359"/>
      <c r="I78" s="359"/>
      <c r="J78" s="359"/>
      <c r="K78" s="359"/>
      <c r="L78" s="359"/>
      <c r="M78" s="206"/>
      <c r="N78" s="206"/>
      <c r="O78" s="206"/>
      <c r="P78" s="206"/>
      <c r="Q78" s="206"/>
      <c r="R78" s="359"/>
      <c r="S78" s="359"/>
      <c r="T78" s="359"/>
      <c r="U78" s="359"/>
      <c r="V78" s="359"/>
      <c r="W78" s="359"/>
      <c r="X78" s="359"/>
      <c r="Y78" s="359"/>
      <c r="Z78" s="359"/>
      <c r="AA78" s="206"/>
      <c r="AB78" s="206"/>
      <c r="AC78" s="359"/>
      <c r="AD78" s="206"/>
      <c r="AE78" s="206"/>
      <c r="AF78" s="206"/>
      <c r="AG78" s="206"/>
      <c r="AH78" s="206"/>
      <c r="AI78" s="359"/>
      <c r="AJ78" s="359"/>
      <c r="AK78" s="359"/>
      <c r="AL78" s="359"/>
      <c r="AM78" s="359"/>
      <c r="AN78" s="359"/>
      <c r="AO78" s="359"/>
      <c r="AP78" s="359"/>
      <c r="AQ78" s="359"/>
      <c r="AR78" s="206"/>
      <c r="AS78" s="359"/>
      <c r="AT78" s="206"/>
      <c r="AU78" s="206"/>
      <c r="AY78" s="206"/>
      <c r="AZ78" s="359"/>
      <c r="BA78" s="359"/>
      <c r="BB78" s="359"/>
      <c r="BC78" s="359"/>
      <c r="BD78" s="359"/>
      <c r="BE78" s="359"/>
      <c r="BF78" s="359"/>
      <c r="BG78" s="206"/>
      <c r="BH78" s="206"/>
      <c r="BI78" s="206"/>
      <c r="BY78" s="39"/>
      <c r="BZ78" s="39"/>
      <c r="CA78" s="30"/>
      <c r="CB78" s="30"/>
      <c r="CC78" s="30"/>
      <c r="CD78" s="30"/>
      <c r="CE78" s="30"/>
      <c r="CF78" s="30"/>
      <c r="CG78" s="30"/>
      <c r="CH78" s="30"/>
      <c r="CI78" s="30"/>
      <c r="CJ78" s="30"/>
      <c r="CK78" s="30"/>
      <c r="CL78" s="30"/>
      <c r="CM78" s="30"/>
      <c r="CN78" s="30"/>
      <c r="CO78" s="30"/>
      <c r="CP78" s="30"/>
      <c r="CQ78" s="30"/>
      <c r="CR78" s="30"/>
      <c r="CS78" s="30"/>
    </row>
    <row r="79" spans="2:97" ht="15" hidden="1" customHeight="1">
      <c r="B79" s="511">
        <v>1</v>
      </c>
      <c r="C79" s="511">
        <v>1</v>
      </c>
      <c r="BY79" s="39"/>
      <c r="BZ79" s="39"/>
      <c r="CA79" s="30"/>
      <c r="CB79" s="30"/>
      <c r="CC79" s="30"/>
      <c r="CD79" s="30"/>
      <c r="CE79" s="30"/>
      <c r="CF79" s="30"/>
      <c r="CG79" s="30"/>
      <c r="CH79" s="30"/>
      <c r="CI79" s="30"/>
      <c r="CJ79" s="30"/>
      <c r="CK79" s="30"/>
      <c r="CL79" s="30"/>
      <c r="CM79" s="30"/>
      <c r="CN79" s="30"/>
      <c r="CO79" s="30"/>
      <c r="CP79" s="30"/>
      <c r="CQ79" s="30"/>
      <c r="CR79" s="30"/>
      <c r="CS79" s="30"/>
    </row>
    <row r="80" spans="2:97" ht="15" hidden="1" customHeight="1">
      <c r="B80" s="511">
        <v>2</v>
      </c>
      <c r="C80" s="511">
        <v>2</v>
      </c>
      <c r="BY80" s="39"/>
      <c r="BZ80" s="39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</row>
    <row r="81" spans="2:97" ht="15" hidden="1" customHeight="1">
      <c r="B81" s="511">
        <v>3</v>
      </c>
      <c r="C81" s="511">
        <v>3</v>
      </c>
      <c r="BY81" s="39"/>
      <c r="BZ81" s="39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</row>
    <row r="82" spans="2:97" ht="15" hidden="1" customHeight="1">
      <c r="B82" s="511">
        <v>4</v>
      </c>
      <c r="C82" s="511">
        <v>4</v>
      </c>
      <c r="BY82" s="39"/>
      <c r="BZ82" s="39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</row>
    <row r="83" spans="2:97" ht="15" hidden="1" customHeight="1">
      <c r="B83" s="511">
        <v>5</v>
      </c>
      <c r="C83" s="511">
        <v>5</v>
      </c>
      <c r="BY83" s="39"/>
      <c r="BZ83" s="39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</row>
    <row r="84" spans="2:97" ht="15" hidden="1" customHeight="1">
      <c r="B84" s="511">
        <v>6</v>
      </c>
      <c r="C84" s="511">
        <v>6</v>
      </c>
      <c r="BY84" s="39"/>
      <c r="BZ84" s="39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</row>
    <row r="85" spans="2:97" ht="15" hidden="1" customHeight="1">
      <c r="B85" s="511">
        <v>7</v>
      </c>
      <c r="C85" s="511">
        <v>7</v>
      </c>
      <c r="BY85" s="39"/>
      <c r="BZ85" s="39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</row>
    <row r="86" spans="2:97" ht="15" hidden="1" customHeight="1">
      <c r="B86" s="511">
        <v>8</v>
      </c>
      <c r="C86" s="511">
        <v>8</v>
      </c>
      <c r="BY86" s="39"/>
      <c r="BZ86" s="39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</row>
    <row r="87" spans="2:97" ht="15" hidden="1" customHeight="1">
      <c r="B87" s="511">
        <v>9</v>
      </c>
      <c r="C87" s="511">
        <v>9</v>
      </c>
      <c r="BY87" s="39"/>
      <c r="BZ87" s="39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</row>
    <row r="88" spans="2:97" ht="15" hidden="1" customHeight="1">
      <c r="B88" s="511">
        <v>10</v>
      </c>
      <c r="C88" s="511">
        <v>10</v>
      </c>
      <c r="BY88" s="39"/>
      <c r="BZ88" s="39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</row>
    <row r="89" spans="2:97" ht="15" hidden="1" customHeight="1">
      <c r="B89" s="511"/>
      <c r="C89" s="511">
        <v>11</v>
      </c>
      <c r="BY89" s="39"/>
      <c r="BZ89" s="39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</row>
    <row r="90" spans="2:97" ht="15" hidden="1" customHeight="1">
      <c r="B90" s="511"/>
      <c r="C90" s="511">
        <v>12</v>
      </c>
      <c r="BY90" s="39"/>
      <c r="BZ90" s="39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</row>
    <row r="91" spans="2:97" ht="15" hidden="1" customHeight="1">
      <c r="B91" s="511"/>
      <c r="C91" s="511">
        <v>13</v>
      </c>
      <c r="BY91" s="39"/>
      <c r="BZ91" s="39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</row>
    <row r="92" spans="2:97" ht="15" hidden="1" customHeight="1">
      <c r="B92" s="511"/>
      <c r="C92" s="511">
        <v>14</v>
      </c>
      <c r="BY92" s="39"/>
      <c r="BZ92" s="39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</row>
    <row r="93" spans="2:97" ht="15" hidden="1" customHeight="1">
      <c r="B93" s="511"/>
      <c r="C93" s="511">
        <v>15</v>
      </c>
      <c r="BY93" s="39"/>
      <c r="BZ93" s="39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</row>
    <row r="94" spans="2:97" ht="15" customHeight="1">
      <c r="BY94" s="39"/>
      <c r="BZ94" s="39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</row>
    <row r="95" spans="2:97" ht="15" customHeight="1">
      <c r="BY95" s="39"/>
      <c r="BZ95" s="39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</row>
    <row r="96" spans="2:97" ht="15" customHeight="1">
      <c r="BY96" s="39"/>
      <c r="BZ96" s="39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</row>
    <row r="97" spans="77:97" ht="15" customHeight="1">
      <c r="BY97" s="39"/>
      <c r="BZ97" s="39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</row>
    <row r="98" spans="77:97" ht="15" customHeight="1">
      <c r="BY98" s="39"/>
      <c r="BZ98" s="39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</row>
    <row r="99" spans="77:97" ht="15" customHeight="1">
      <c r="BY99" s="39"/>
      <c r="BZ99" s="39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</row>
    <row r="100" spans="77:97" ht="15" customHeight="1">
      <c r="BY100" s="39"/>
      <c r="BZ100" s="39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</row>
    <row r="101" spans="77:97" ht="15" customHeight="1">
      <c r="BY101" s="39"/>
      <c r="BZ101" s="39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</row>
    <row r="102" spans="77:97" ht="15" customHeight="1">
      <c r="BY102" s="39"/>
      <c r="BZ102" s="39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</row>
    <row r="103" spans="77:97" ht="15" customHeight="1">
      <c r="BY103" s="39"/>
      <c r="BZ103" s="39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</row>
    <row r="104" spans="77:97" ht="15" customHeight="1">
      <c r="BY104" s="39"/>
      <c r="BZ104" s="39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</row>
    <row r="105" spans="77:97" ht="15" customHeight="1">
      <c r="BY105" s="39"/>
      <c r="BZ105" s="39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</row>
    <row r="106" spans="77:97" ht="15" customHeight="1">
      <c r="BY106" s="39"/>
      <c r="BZ106" s="39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</row>
    <row r="107" spans="77:97" ht="15" customHeight="1">
      <c r="BY107" s="39"/>
      <c r="BZ107" s="39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</row>
    <row r="108" spans="77:97" ht="15" customHeight="1">
      <c r="BY108" s="39"/>
      <c r="BZ108" s="39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</row>
    <row r="109" spans="77:97" ht="15" customHeight="1">
      <c r="BY109" s="39"/>
      <c r="BZ109" s="39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</row>
    <row r="110" spans="77:97" ht="15" customHeight="1">
      <c r="BY110" s="39"/>
      <c r="BZ110" s="39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</row>
    <row r="111" spans="77:97" ht="15" customHeight="1">
      <c r="BY111" s="39"/>
      <c r="BZ111" s="39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</row>
    <row r="112" spans="77:97" ht="15" customHeight="1">
      <c r="BY112" s="39"/>
      <c r="BZ112" s="39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</row>
    <row r="113" spans="77:97" ht="15" customHeight="1">
      <c r="BY113" s="39"/>
      <c r="BZ113" s="39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</row>
    <row r="114" spans="77:97" ht="15" customHeight="1">
      <c r="BY114" s="39"/>
      <c r="BZ114" s="39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</row>
  </sheetData>
  <sheetProtection password="CF7A" sheet="1" scenarios="1" autoFilter="0"/>
  <autoFilter ref="CA12:CB62"/>
  <mergeCells count="131">
    <mergeCell ref="AS7:AS12"/>
    <mergeCell ref="AI7:AI12"/>
    <mergeCell ref="AJ7:AJ12"/>
    <mergeCell ref="AK7:AK12"/>
    <mergeCell ref="AL7:AL12"/>
    <mergeCell ref="AM7:AM12"/>
    <mergeCell ref="AN7:AN12"/>
    <mergeCell ref="AO7:AO12"/>
    <mergeCell ref="AP7:AP12"/>
    <mergeCell ref="AQ7:AQ12"/>
    <mergeCell ref="M7:M12"/>
    <mergeCell ref="AH7:AH12"/>
    <mergeCell ref="I7:I12"/>
    <mergeCell ref="J7:J12"/>
    <mergeCell ref="K7:K12"/>
    <mergeCell ref="AC7:AC12"/>
    <mergeCell ref="R7:R12"/>
    <mergeCell ref="S7:S12"/>
    <mergeCell ref="T7:T12"/>
    <mergeCell ref="U7:U12"/>
    <mergeCell ref="V7:V12"/>
    <mergeCell ref="W7:W12"/>
    <mergeCell ref="X7:X12"/>
    <mergeCell ref="Y7:Y12"/>
    <mergeCell ref="Z7:Z12"/>
    <mergeCell ref="BB7:BB12"/>
    <mergeCell ref="BC7:BC12"/>
    <mergeCell ref="BD7:BD12"/>
    <mergeCell ref="BE7:BE12"/>
    <mergeCell ref="BF7:BF12"/>
    <mergeCell ref="AH6:AW6"/>
    <mergeCell ref="AU7:AU12"/>
    <mergeCell ref="BQ5:BQ12"/>
    <mergeCell ref="BU11:BU12"/>
    <mergeCell ref="BT11:BT12"/>
    <mergeCell ref="BP5:BP12"/>
    <mergeCell ref="BM5:BO5"/>
    <mergeCell ref="E5:BK5"/>
    <mergeCell ref="O7:O12"/>
    <mergeCell ref="N7:N12"/>
    <mergeCell ref="E7:E12"/>
    <mergeCell ref="AT7:AT12"/>
    <mergeCell ref="L7:L12"/>
    <mergeCell ref="F7:F12"/>
    <mergeCell ref="G7:G12"/>
    <mergeCell ref="H7:H12"/>
    <mergeCell ref="AY7:AY12"/>
    <mergeCell ref="BG7:BG12"/>
    <mergeCell ref="BH7:BH12"/>
    <mergeCell ref="B22:D22"/>
    <mergeCell ref="B21:D21"/>
    <mergeCell ref="CN2:CO3"/>
    <mergeCell ref="CL3:CM3"/>
    <mergeCell ref="CF3:CG3"/>
    <mergeCell ref="CH3:CI3"/>
    <mergeCell ref="CJ3:CK3"/>
    <mergeCell ref="CF2:CM2"/>
    <mergeCell ref="BO6:BO12"/>
    <mergeCell ref="AV7:AV12"/>
    <mergeCell ref="BM6:BM12"/>
    <mergeCell ref="AW7:AW12"/>
    <mergeCell ref="BN6:BN12"/>
    <mergeCell ref="AY6:BI6"/>
    <mergeCell ref="BI7:BI12"/>
    <mergeCell ref="BK7:BK12"/>
    <mergeCell ref="E3:BI4"/>
    <mergeCell ref="AR7:AR12"/>
    <mergeCell ref="CA10:CA12"/>
    <mergeCell ref="BR5:BR12"/>
    <mergeCell ref="BV10:BV12"/>
    <mergeCell ref="BT10:BU10"/>
    <mergeCell ref="AZ7:AZ12"/>
    <mergeCell ref="BA7:BA12"/>
    <mergeCell ref="B41:D41"/>
    <mergeCell ref="B40:D40"/>
    <mergeCell ref="Q66:AA66"/>
    <mergeCell ref="AE7:AE12"/>
    <mergeCell ref="AF7:AF12"/>
    <mergeCell ref="Q6:AF6"/>
    <mergeCell ref="Q7:Q12"/>
    <mergeCell ref="AB7:AB12"/>
    <mergeCell ref="AD7:AD12"/>
    <mergeCell ref="B39:D39"/>
    <mergeCell ref="B38:D38"/>
    <mergeCell ref="B37:D37"/>
    <mergeCell ref="B20:D20"/>
    <mergeCell ref="B19:D19"/>
    <mergeCell ref="B18:D18"/>
    <mergeCell ref="B17:D17"/>
    <mergeCell ref="B16:D16"/>
    <mergeCell ref="B15:D15"/>
    <mergeCell ref="B14:D14"/>
    <mergeCell ref="B13:D13"/>
    <mergeCell ref="B12:D12"/>
    <mergeCell ref="AA7:AA12"/>
    <mergeCell ref="E6:O6"/>
    <mergeCell ref="B23:D23"/>
    <mergeCell ref="B62:D62"/>
    <mergeCell ref="B61:D61"/>
    <mergeCell ref="B55:D55"/>
    <mergeCell ref="B54:D54"/>
    <mergeCell ref="B53:D53"/>
    <mergeCell ref="B52:D52"/>
    <mergeCell ref="B51:D51"/>
    <mergeCell ref="B50:D50"/>
    <mergeCell ref="B49:D49"/>
    <mergeCell ref="B60:D60"/>
    <mergeCell ref="B24:D24"/>
    <mergeCell ref="B28:D28"/>
    <mergeCell ref="B27:D27"/>
    <mergeCell ref="B26:D26"/>
    <mergeCell ref="B25:D25"/>
    <mergeCell ref="B56:D56"/>
    <mergeCell ref="B57:D57"/>
    <mergeCell ref="B58:D58"/>
    <mergeCell ref="B59:D59"/>
    <mergeCell ref="B48:D48"/>
    <mergeCell ref="B47:D47"/>
    <mergeCell ref="B46:D46"/>
    <mergeCell ref="B29:D29"/>
    <mergeCell ref="B45:D45"/>
    <mergeCell ref="B44:D44"/>
    <mergeCell ref="B43:D43"/>
    <mergeCell ref="B42:D42"/>
    <mergeCell ref="B31:D31"/>
    <mergeCell ref="B30:D30"/>
    <mergeCell ref="B36:D36"/>
    <mergeCell ref="B35:D35"/>
    <mergeCell ref="B34:D34"/>
    <mergeCell ref="B33:D33"/>
    <mergeCell ref="B32:D32"/>
  </mergeCells>
  <conditionalFormatting sqref="BM13:BN62">
    <cfRule type="cellIs" dxfId="7" priority="27" operator="lessThan">
      <formula>51</formula>
    </cfRule>
  </conditionalFormatting>
  <conditionalFormatting sqref="BK13:BK62 Q13:AF62 AH13:AW62 AY13:BI62 BM13:BV62 A13:O62">
    <cfRule type="expression" dxfId="6" priority="21">
      <formula>ROW()=CELL("Fila")</formula>
    </cfRule>
  </conditionalFormatting>
  <conditionalFormatting sqref="E7:N7 Q7:AE7 AH7:AV7 AY7:BH7 BP5:BS5 BM6:BQ12 BS6:BS10 BS11:BU12 BV10 E8:E12 M8:N12 Q8:Q12 AD8:AE12 AA8:AB12 AH8:AH12 AT8:AV12 AR8:AR12 AY8:AY12 BG8:BH12">
    <cfRule type="expression" dxfId="5" priority="20">
      <formula>COLUMN()=CELL("Columna")</formula>
    </cfRule>
  </conditionalFormatting>
  <conditionalFormatting sqref="CA13:CA62">
    <cfRule type="top10" dxfId="4" priority="653" bottom="1" rank="10"/>
  </conditionalFormatting>
  <conditionalFormatting sqref="BT13:BV62">
    <cfRule type="cellIs" dxfId="3" priority="4" operator="lessThan">
      <formula>51</formula>
    </cfRule>
  </conditionalFormatting>
  <conditionalFormatting sqref="BP13:BP62">
    <cfRule type="cellIs" dxfId="2" priority="3" operator="equal">
      <formula>"RETIRADO"</formula>
    </cfRule>
  </conditionalFormatting>
  <conditionalFormatting sqref="BQ13:BS62">
    <cfRule type="cellIs" dxfId="1" priority="2" operator="equal">
      <formula>"REPROBADO"</formula>
    </cfRule>
  </conditionalFormatting>
  <conditionalFormatting sqref="BR13:BR62">
    <cfRule type="top10" dxfId="0" priority="1" bottom="1" rank="10"/>
  </conditionalFormatting>
  <dataValidations count="5">
    <dataValidation type="decimal" allowBlank="1" showInputMessage="1" showErrorMessage="1" errorTitle="VALOR INCORRECTO" error="Solo se aceptan valores entre 1 y 5." sqref="BK13:BK62 AY13:BH62 E13:N62">
      <formula1>1</formula1>
      <formula2>5</formula2>
    </dataValidation>
    <dataValidation type="decimal" allowBlank="1" showInputMessage="1" showErrorMessage="1" errorTitle="VALOR INCORRECTO" error="Solo se aceptan valores entre 1 y 40." sqref="AH13:AV62">
      <formula1>1</formula1>
      <formula2>40</formula2>
    </dataValidation>
    <dataValidation type="decimal" allowBlank="1" showInputMessage="1" showErrorMessage="1" errorTitle="VALOR INCORRECTO" error="Solo se aceptan valores entre 1 y 45." sqref="Q13:AE62">
      <formula1>1</formula1>
      <formula2>45</formula2>
    </dataValidation>
    <dataValidation type="list" allowBlank="1" showInputMessage="1" showErrorMessage="1" sqref="C71 C74">
      <formula1>$B$79:$B$88</formula1>
    </dataValidation>
    <dataValidation type="list" allowBlank="1" showInputMessage="1" showErrorMessage="1" sqref="C72:C73">
      <formula1>$C$79:$C$93</formula1>
    </dataValidation>
  </dataValidations>
  <pageMargins left="0.78740157480314965" right="0.39370078740157483" top="0.39370078740157483" bottom="0.39370078740157483" header="0.31496062992125984" footer="0.31496062992125984"/>
  <pageSetup scale="48" fitToHeight="0" orientation="portrait" horizontalDpi="4294967294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50"/>
    <pageSetUpPr fitToPage="1"/>
  </sheetPr>
  <dimension ref="A1:P46"/>
  <sheetViews>
    <sheetView showGridLines="0" showRowColHeaders="0" showZeros="0" zoomScaleNormal="100" workbookViewId="0">
      <selection activeCell="N7" sqref="N7"/>
    </sheetView>
  </sheetViews>
  <sheetFormatPr baseColWidth="10" defaultColWidth="10" defaultRowHeight="15"/>
  <cols>
    <col min="1" max="1" width="11.5" style="468" customWidth="1"/>
    <col min="2" max="13" width="5" style="468" customWidth="1"/>
    <col min="14" max="14" width="26.125" style="468" customWidth="1"/>
    <col min="15" max="28" width="5.875" style="468" customWidth="1"/>
    <col min="29" max="16384" width="10" style="468"/>
  </cols>
  <sheetData>
    <row r="1" spans="1:16" ht="15" customHeight="1">
      <c r="B1" s="469" t="str">
        <f>IF(FILIACIÓN!C1="","",FILIACIÓN!C1)</f>
        <v xml:space="preserve">UNIDAD EDUCATIVA </v>
      </c>
      <c r="C1" s="470"/>
      <c r="D1" s="318"/>
      <c r="E1" s="471"/>
      <c r="F1" s="471"/>
      <c r="G1" s="471"/>
      <c r="H1" s="471"/>
      <c r="I1" s="471"/>
      <c r="J1" s="471"/>
      <c r="K1" s="472"/>
      <c r="L1" s="472"/>
      <c r="M1" s="472"/>
      <c r="N1" s="472"/>
      <c r="O1" s="472"/>
      <c r="P1" s="473"/>
    </row>
    <row r="2" spans="1:16" ht="15" customHeight="1">
      <c r="B2" s="469" t="str">
        <f>IF(FILIACIÓN!C2="","",FILIACIÓN!C2)</f>
        <v>NIVEL SECUNDARIA COMUNITARIA PRODUCTIVA</v>
      </c>
      <c r="C2" s="470"/>
      <c r="J2" s="472"/>
      <c r="K2" s="474"/>
      <c r="L2" s="474"/>
      <c r="M2" s="474"/>
      <c r="N2" s="474"/>
      <c r="O2" s="474"/>
      <c r="P2" s="474"/>
    </row>
    <row r="3" spans="1:16" ht="15" customHeight="1">
      <c r="B3" s="469" t="str">
        <f>IF(FILIACIÓN!C3="","",FILIACIÓN!C3)</f>
        <v xml:space="preserve">TURNO </v>
      </c>
      <c r="C3" s="470"/>
      <c r="D3" s="318"/>
      <c r="E3" s="475"/>
      <c r="F3" s="476"/>
    </row>
    <row r="4" spans="1:16" ht="15" customHeight="1">
      <c r="B4" s="477" t="str">
        <f>IF(FILIACIÓN!E3="","",FILIACIÓN!E3)</f>
        <v xml:space="preserve">SIE </v>
      </c>
      <c r="C4" s="478"/>
      <c r="G4" s="761" t="s">
        <v>181</v>
      </c>
      <c r="H4" s="761"/>
      <c r="I4" s="761"/>
      <c r="J4" s="761"/>
      <c r="K4" s="761"/>
      <c r="L4" s="761"/>
      <c r="M4" s="761"/>
      <c r="N4" s="761"/>
      <c r="O4" s="761"/>
      <c r="P4" s="761"/>
    </row>
    <row r="5" spans="1:16" ht="15" customHeight="1">
      <c r="B5" s="477" t="str">
        <f>IF(FILIACIÓN!C4="","",FILIACIÓN!C4)</f>
        <v>GESTION 2025</v>
      </c>
      <c r="F5" s="472"/>
      <c r="G5" s="472"/>
      <c r="K5" s="308"/>
      <c r="L5" s="472"/>
      <c r="M5" s="472"/>
      <c r="N5" s="472"/>
      <c r="O5" s="472"/>
      <c r="P5" s="472"/>
    </row>
    <row r="6" spans="1:16" ht="15" customHeight="1">
      <c r="B6" s="317"/>
      <c r="C6" s="318"/>
      <c r="D6" s="476"/>
      <c r="E6" s="481"/>
      <c r="F6" s="482"/>
      <c r="G6" s="482"/>
      <c r="H6" s="482"/>
      <c r="I6" s="482"/>
      <c r="K6" s="482"/>
      <c r="L6" s="483"/>
      <c r="M6" s="484"/>
      <c r="N6" s="484"/>
      <c r="O6" s="484"/>
      <c r="P6" s="485"/>
    </row>
    <row r="7" spans="1:16" ht="15" customHeight="1">
      <c r="A7" s="486"/>
      <c r="E7" s="479" t="s">
        <v>150</v>
      </c>
      <c r="F7" s="480" t="str">
        <f>FILIACIÓN!$F$5</f>
        <v/>
      </c>
      <c r="L7" s="472"/>
      <c r="M7" s="479" t="s">
        <v>26</v>
      </c>
      <c r="N7" s="548" t="str">
        <f>FILIACIÓN!$F$8</f>
        <v>nombre maestro</v>
      </c>
      <c r="O7" s="484"/>
      <c r="P7" s="485"/>
    </row>
    <row r="8" spans="1:16" ht="15" customHeight="1">
      <c r="B8" s="316"/>
      <c r="C8" s="479" t="s">
        <v>25</v>
      </c>
      <c r="D8" s="480" t="str">
        <f>FILIACIÓN!$F$6</f>
        <v/>
      </c>
      <c r="E8" s="487"/>
      <c r="F8" s="488"/>
      <c r="G8" s="488"/>
      <c r="H8" s="489"/>
      <c r="I8" s="489"/>
      <c r="J8" s="489"/>
      <c r="L8" s="479" t="s">
        <v>27</v>
      </c>
      <c r="M8" s="480" t="str">
        <f>FILIACIÓN!$F$7</f>
        <v/>
      </c>
    </row>
    <row r="9" spans="1:16" ht="15" customHeight="1">
      <c r="B9" s="316"/>
      <c r="C9" s="479"/>
      <c r="D9" s="480"/>
      <c r="E9" s="487"/>
      <c r="F9" s="488"/>
      <c r="G9" s="488"/>
      <c r="H9" s="489"/>
      <c r="I9" s="489"/>
      <c r="J9" s="489"/>
      <c r="L9" s="479"/>
      <c r="M9" s="480"/>
    </row>
    <row r="10" spans="1:16" ht="18.75">
      <c r="B10" s="758" t="s">
        <v>203</v>
      </c>
      <c r="C10" s="758"/>
      <c r="D10" s="758"/>
      <c r="E10" s="758"/>
      <c r="F10" s="758"/>
      <c r="G10" s="758"/>
      <c r="H10" s="758"/>
      <c r="I10" s="758"/>
      <c r="J10" s="758"/>
      <c r="K10" s="758"/>
      <c r="L10" s="758"/>
      <c r="M10" s="758"/>
      <c r="N10" s="758"/>
      <c r="O10" s="758"/>
      <c r="P10" s="758"/>
    </row>
    <row r="12" spans="1:16" ht="29.25" customHeight="1">
      <c r="A12" s="498"/>
      <c r="B12" s="496">
        <v>11</v>
      </c>
      <c r="C12" s="496">
        <v>12</v>
      </c>
      <c r="D12" s="496">
        <f>C12+1</f>
        <v>13</v>
      </c>
      <c r="E12" s="496">
        <f t="shared" ref="E12:J12" si="0">D12+1</f>
        <v>14</v>
      </c>
      <c r="F12" s="496">
        <f t="shared" si="0"/>
        <v>15</v>
      </c>
      <c r="G12" s="496">
        <f t="shared" si="0"/>
        <v>16</v>
      </c>
      <c r="H12" s="496">
        <f t="shared" si="0"/>
        <v>17</v>
      </c>
      <c r="I12" s="496">
        <f t="shared" si="0"/>
        <v>18</v>
      </c>
      <c r="J12" s="496">
        <f t="shared" si="0"/>
        <v>19</v>
      </c>
      <c r="K12" s="496">
        <v>20</v>
      </c>
      <c r="L12" s="762" t="s">
        <v>9</v>
      </c>
      <c r="M12" s="762"/>
    </row>
    <row r="13" spans="1:16">
      <c r="A13" s="299" t="s">
        <v>16</v>
      </c>
      <c r="B13" s="490">
        <f>COUNTIFS(FILIACIÓN!D11:D60,"11",FILIACIÓN!B11:B60,"F")</f>
        <v>0</v>
      </c>
      <c r="C13" s="490">
        <f ca="1">COUNTIFS(FILIACIÓN!E11:E60,"12",FILIACIÓN!C11:C60,"F")</f>
        <v>0</v>
      </c>
      <c r="D13" s="490">
        <f ca="1">COUNTIFS(FILIACIÓN!E11:E60,"13",FILIACIÓN!C11:C60,"F")</f>
        <v>0</v>
      </c>
      <c r="E13" s="490">
        <f ca="1">COUNTIFS(FILIACIÓN!E11:E60,"14",FILIACIÓN!C11:C60,"F")</f>
        <v>0</v>
      </c>
      <c r="F13" s="490">
        <f ca="1">COUNTIFS(FILIACIÓN!E11:E60,"15",FILIACIÓN!C11:C60,"F")</f>
        <v>0</v>
      </c>
      <c r="G13" s="490">
        <f ca="1">COUNTIFS(FILIACIÓN!E11:E60,"16",FILIACIÓN!C11:C60,"F")</f>
        <v>0</v>
      </c>
      <c r="H13" s="490">
        <f ca="1">COUNTIFS(FILIACIÓN!E11:E60,"17",FILIACIÓN!C11:C60,"F")</f>
        <v>0</v>
      </c>
      <c r="I13" s="490">
        <f ca="1">COUNTIFS(FILIACIÓN!E11:E60,"18",FILIACIÓN!C11:C60,"F")</f>
        <v>0</v>
      </c>
      <c r="J13" s="490">
        <f ca="1">COUNTIFS(FILIACIÓN!E11:E60,"19",FILIACIÓN!C11:C60,"F")</f>
        <v>0</v>
      </c>
      <c r="K13" s="490">
        <f>COUNTIFS(FILIACIÓN!F11:F60,"20",FILIACIÓN!D11:D60,"F")</f>
        <v>0</v>
      </c>
      <c r="L13" s="763">
        <f ca="1">SUM(B13:K13)</f>
        <v>0</v>
      </c>
      <c r="M13" s="763"/>
    </row>
    <row r="14" spans="1:16">
      <c r="A14" s="299" t="s">
        <v>205</v>
      </c>
      <c r="B14" s="490">
        <f>COUNTIFS(FILIACIÓN!D11:D60,"11",FILIACIÓN!B11:B60,"M")</f>
        <v>0</v>
      </c>
      <c r="C14" s="490">
        <f ca="1">COUNTIFS(FILIACIÓN!E11:E60,"12",FILIACIÓN!C11:C60,"M")</f>
        <v>0</v>
      </c>
      <c r="D14" s="490">
        <f ca="1">COUNTIFS(FILIACIÓN!E11:E60,"13",FILIACIÓN!C11:C60,"M")</f>
        <v>0</v>
      </c>
      <c r="E14" s="490">
        <f ca="1">COUNTIFS(FILIACIÓN!E11:E60,"14",FILIACIÓN!C11:C60,"M")</f>
        <v>0</v>
      </c>
      <c r="F14" s="490">
        <f ca="1">COUNTIFS(FILIACIÓN!E11:E60,"15",FILIACIÓN!C11:C60,"M")</f>
        <v>0</v>
      </c>
      <c r="G14" s="490">
        <f ca="1">COUNTIFS(FILIACIÓN!E11:E60,"16",FILIACIÓN!C11:C60,"M")</f>
        <v>0</v>
      </c>
      <c r="H14" s="490">
        <f ca="1">COUNTIFS(FILIACIÓN!E11:E60,"17",FILIACIÓN!C11:C60,"M")</f>
        <v>0</v>
      </c>
      <c r="I14" s="490">
        <f ca="1">COUNTIFS(FILIACIÓN!E11:E60,"18",FILIACIÓN!C11:C60,"M")</f>
        <v>0</v>
      </c>
      <c r="J14" s="490">
        <f ca="1">COUNTIFS(FILIACIÓN!E11:E60,"19",FILIACIÓN!C11:C60,"M")</f>
        <v>0</v>
      </c>
      <c r="K14" s="490">
        <f>COUNTIFS(FILIACIÓN!F11:F60,"20",FILIACIÓN!D11:D60,"M")</f>
        <v>0</v>
      </c>
      <c r="L14" s="763">
        <f ca="1">SUM(B14:K14)</f>
        <v>0</v>
      </c>
      <c r="M14" s="763"/>
    </row>
    <row r="15" spans="1:16">
      <c r="A15" s="299" t="s">
        <v>204</v>
      </c>
      <c r="B15" s="211">
        <f>B13+B14</f>
        <v>0</v>
      </c>
      <c r="C15" s="211">
        <f ca="1">C13+C14</f>
        <v>0</v>
      </c>
      <c r="D15" s="211">
        <f t="shared" ref="D15:K15" ca="1" si="1">D13+D14</f>
        <v>0</v>
      </c>
      <c r="E15" s="211">
        <f t="shared" ca="1" si="1"/>
        <v>0</v>
      </c>
      <c r="F15" s="211">
        <f t="shared" ca="1" si="1"/>
        <v>0</v>
      </c>
      <c r="G15" s="211">
        <f t="shared" ca="1" si="1"/>
        <v>0</v>
      </c>
      <c r="H15" s="211">
        <f t="shared" ca="1" si="1"/>
        <v>0</v>
      </c>
      <c r="I15" s="211">
        <f t="shared" ca="1" si="1"/>
        <v>0</v>
      </c>
      <c r="J15" s="211">
        <f t="shared" ca="1" si="1"/>
        <v>0</v>
      </c>
      <c r="K15" s="211">
        <f t="shared" si="1"/>
        <v>0</v>
      </c>
      <c r="L15" s="763">
        <f ca="1">L13+L14</f>
        <v>0</v>
      </c>
      <c r="M15" s="763"/>
    </row>
    <row r="16" spans="1:16">
      <c r="A16" s="499"/>
      <c r="B16" s="486"/>
      <c r="C16" s="500"/>
      <c r="D16" s="500"/>
      <c r="E16" s="500"/>
      <c r="F16" s="500"/>
      <c r="G16" s="500"/>
      <c r="H16" s="500"/>
      <c r="I16" s="500"/>
      <c r="J16" s="500"/>
      <c r="K16" s="486"/>
      <c r="L16" s="500"/>
    </row>
    <row r="17" spans="1:16">
      <c r="A17" s="499"/>
      <c r="B17" s="486"/>
      <c r="C17" s="500"/>
      <c r="D17" s="500"/>
      <c r="E17" s="500"/>
      <c r="F17" s="500"/>
      <c r="G17" s="500"/>
      <c r="H17" s="500"/>
      <c r="I17" s="500"/>
      <c r="J17" s="500"/>
      <c r="K17" s="486"/>
      <c r="L17" s="500"/>
    </row>
    <row r="18" spans="1:16">
      <c r="A18" s="499"/>
      <c r="B18" s="486"/>
      <c r="C18" s="500"/>
      <c r="D18" s="500"/>
      <c r="E18" s="500"/>
      <c r="F18" s="500"/>
      <c r="G18" s="500"/>
      <c r="H18" s="500"/>
      <c r="I18" s="500"/>
      <c r="J18" s="500"/>
      <c r="K18" s="486"/>
      <c r="L18" s="500"/>
    </row>
    <row r="19" spans="1:16">
      <c r="A19" s="499"/>
      <c r="B19" s="486"/>
      <c r="C19" s="500"/>
      <c r="D19" s="500"/>
      <c r="E19" s="500"/>
      <c r="F19" s="500"/>
      <c r="G19" s="500"/>
      <c r="H19" s="500"/>
      <c r="I19" s="500"/>
      <c r="J19" s="500"/>
      <c r="K19" s="486"/>
      <c r="L19" s="500"/>
    </row>
    <row r="20" spans="1:16" ht="193.5" customHeight="1">
      <c r="A20" s="499"/>
      <c r="B20" s="486"/>
      <c r="C20" s="500"/>
      <c r="D20" s="500"/>
      <c r="E20" s="500"/>
      <c r="F20" s="500"/>
      <c r="G20" s="500"/>
      <c r="H20" s="500"/>
      <c r="I20" s="500"/>
      <c r="J20" s="500"/>
      <c r="K20" s="486"/>
      <c r="L20" s="500"/>
    </row>
    <row r="21" spans="1:16">
      <c r="A21" s="499"/>
      <c r="B21" s="486"/>
      <c r="C21" s="500"/>
      <c r="D21" s="500"/>
      <c r="E21" s="500"/>
      <c r="F21" s="500"/>
      <c r="G21" s="500"/>
      <c r="H21" s="500"/>
      <c r="I21" s="500"/>
      <c r="J21" s="500"/>
      <c r="K21" s="486"/>
      <c r="L21" s="500"/>
    </row>
    <row r="22" spans="1:16" ht="18.75">
      <c r="B22" s="759" t="s">
        <v>206</v>
      </c>
      <c r="C22" s="759"/>
      <c r="D22" s="759"/>
      <c r="E22" s="759"/>
      <c r="F22" s="759"/>
      <c r="G22" s="759"/>
      <c r="H22" s="759"/>
      <c r="I22" s="759"/>
      <c r="J22" s="759"/>
      <c r="K22" s="759"/>
      <c r="L22" s="759"/>
      <c r="M22" s="759"/>
      <c r="N22" s="759"/>
      <c r="O22" s="759"/>
      <c r="P22" s="759"/>
    </row>
    <row r="24" spans="1:16" ht="24.75">
      <c r="A24" s="497" t="s">
        <v>207</v>
      </c>
      <c r="B24" s="762" t="s">
        <v>24</v>
      </c>
      <c r="C24" s="762"/>
      <c r="D24" s="495"/>
      <c r="E24" s="212"/>
      <c r="F24" s="212"/>
      <c r="G24" s="212"/>
      <c r="H24" s="212"/>
    </row>
    <row r="25" spans="1:16">
      <c r="A25" s="213" t="s">
        <v>208</v>
      </c>
      <c r="B25" s="766">
        <f>FILIACIÓN!J6</f>
        <v>0</v>
      </c>
      <c r="C25" s="766"/>
      <c r="D25" s="495"/>
      <c r="E25" s="214"/>
      <c r="F25" s="491"/>
      <c r="G25" s="491"/>
      <c r="H25" s="491"/>
    </row>
    <row r="26" spans="1:16">
      <c r="A26" s="213" t="s">
        <v>209</v>
      </c>
      <c r="B26" s="766">
        <f>FILIACIÓN!J7</f>
        <v>0</v>
      </c>
      <c r="C26" s="766"/>
      <c r="D26" s="495"/>
      <c r="E26" s="214"/>
      <c r="F26" s="491"/>
      <c r="G26" s="491"/>
      <c r="H26" s="491"/>
    </row>
    <row r="27" spans="1:16">
      <c r="A27" s="213" t="s">
        <v>6</v>
      </c>
      <c r="B27" s="766">
        <f>FILIACIÓN!J8</f>
        <v>0</v>
      </c>
      <c r="C27" s="766"/>
      <c r="D27" s="495"/>
      <c r="E27" s="214"/>
      <c r="F27" s="491"/>
      <c r="G27" s="491"/>
      <c r="H27" s="491"/>
    </row>
    <row r="32" spans="1:16" ht="49.5" customHeight="1">
      <c r="B32" s="491"/>
      <c r="C32" s="491"/>
      <c r="D32" s="491"/>
      <c r="E32" s="491"/>
      <c r="F32" s="491"/>
      <c r="G32" s="491"/>
      <c r="H32" s="491"/>
      <c r="I32" s="491"/>
      <c r="J32" s="491"/>
      <c r="K32" s="491"/>
      <c r="N32" s="492"/>
    </row>
    <row r="33" spans="1:16">
      <c r="B33" s="491"/>
      <c r="C33" s="491"/>
      <c r="D33" s="491"/>
      <c r="E33" s="491"/>
      <c r="F33" s="491"/>
      <c r="G33" s="491"/>
      <c r="H33" s="491"/>
      <c r="I33" s="491"/>
      <c r="J33" s="491"/>
      <c r="K33" s="491"/>
    </row>
    <row r="34" spans="1:16" ht="18.75">
      <c r="B34" s="758" t="s">
        <v>313</v>
      </c>
      <c r="C34" s="758"/>
      <c r="D34" s="758"/>
      <c r="E34" s="758"/>
      <c r="F34" s="758"/>
      <c r="G34" s="758"/>
      <c r="H34" s="758"/>
      <c r="I34" s="758"/>
      <c r="J34" s="758"/>
      <c r="K34" s="758"/>
      <c r="L34" s="758"/>
      <c r="M34" s="758"/>
      <c r="N34" s="758"/>
      <c r="O34" s="758"/>
      <c r="P34" s="758"/>
    </row>
    <row r="35" spans="1:16">
      <c r="B35" s="491"/>
      <c r="C35" s="491"/>
      <c r="D35" s="491"/>
      <c r="E35" s="491"/>
      <c r="F35" s="491"/>
      <c r="G35" s="491"/>
      <c r="H35" s="491"/>
      <c r="I35" s="491"/>
      <c r="J35" s="491"/>
      <c r="K35" s="491"/>
    </row>
    <row r="36" spans="1:16">
      <c r="B36" s="491"/>
      <c r="C36" s="491"/>
      <c r="D36" s="491"/>
      <c r="E36" s="491"/>
      <c r="F36" s="491"/>
      <c r="G36" s="491"/>
      <c r="H36" s="491"/>
      <c r="I36" s="491"/>
      <c r="J36" s="491"/>
      <c r="K36" s="491"/>
    </row>
    <row r="37" spans="1:16">
      <c r="B37" s="760" t="s">
        <v>24</v>
      </c>
      <c r="C37" s="760"/>
      <c r="D37" s="491"/>
      <c r="E37" s="491"/>
      <c r="F37" s="491"/>
      <c r="G37" s="491"/>
      <c r="H37" s="491"/>
      <c r="I37" s="491"/>
      <c r="J37" s="491"/>
      <c r="K37" s="491"/>
    </row>
    <row r="38" spans="1:16">
      <c r="A38" s="494" t="s">
        <v>18</v>
      </c>
      <c r="B38" s="768" t="e">
        <f>#REF!</f>
        <v>#REF!</v>
      </c>
      <c r="C38" s="768"/>
      <c r="D38" s="491"/>
      <c r="E38" s="491"/>
      <c r="F38" s="491"/>
      <c r="G38" s="491"/>
      <c r="H38" s="491"/>
      <c r="I38" s="491"/>
      <c r="J38" s="491"/>
      <c r="K38" s="491"/>
    </row>
    <row r="39" spans="1:16">
      <c r="A39" s="494" t="s">
        <v>19</v>
      </c>
      <c r="B39" s="768" t="e">
        <f>#REF!</f>
        <v>#REF!</v>
      </c>
      <c r="C39" s="768"/>
      <c r="D39" s="491"/>
      <c r="E39" s="491"/>
      <c r="F39" s="491"/>
      <c r="G39" s="491"/>
      <c r="H39" s="491"/>
      <c r="I39" s="491"/>
      <c r="J39" s="491"/>
      <c r="K39" s="491"/>
    </row>
    <row r="40" spans="1:16">
      <c r="B40" s="491"/>
      <c r="C40" s="767"/>
      <c r="D40" s="767"/>
      <c r="E40" s="767"/>
      <c r="F40" s="491"/>
      <c r="G40" s="767"/>
      <c r="H40" s="767"/>
      <c r="I40" s="767"/>
      <c r="J40" s="491"/>
      <c r="K40" s="491"/>
    </row>
    <row r="41" spans="1:16">
      <c r="B41" s="491"/>
      <c r="C41" s="491"/>
      <c r="D41" s="491"/>
      <c r="E41" s="491"/>
      <c r="F41" s="491"/>
      <c r="G41" s="491"/>
      <c r="H41" s="491"/>
      <c r="I41" s="491"/>
      <c r="J41" s="491"/>
      <c r="K41" s="491"/>
    </row>
    <row r="42" spans="1:16">
      <c r="B42" s="493"/>
      <c r="C42" s="493"/>
      <c r="D42" s="493"/>
      <c r="E42" s="493"/>
      <c r="F42" s="493"/>
      <c r="G42" s="493"/>
      <c r="H42" s="493"/>
      <c r="I42" s="493"/>
      <c r="J42" s="493"/>
      <c r="K42" s="493"/>
      <c r="L42" s="486"/>
    </row>
    <row r="43" spans="1:16">
      <c r="B43" s="764"/>
      <c r="C43" s="764"/>
      <c r="D43" s="764"/>
      <c r="E43" s="493"/>
      <c r="F43" s="493"/>
      <c r="G43" s="493"/>
      <c r="H43" s="765"/>
      <c r="I43" s="765"/>
      <c r="J43" s="765"/>
      <c r="K43" s="765"/>
      <c r="L43" s="486"/>
    </row>
    <row r="44" spans="1:16">
      <c r="B44" s="491"/>
      <c r="C44" s="491"/>
      <c r="D44" s="491"/>
      <c r="E44" s="491"/>
      <c r="F44" s="491"/>
      <c r="G44" s="491"/>
      <c r="H44" s="491"/>
      <c r="I44" s="491"/>
      <c r="J44" s="491"/>
      <c r="K44" s="491"/>
    </row>
    <row r="45" spans="1:16">
      <c r="B45" s="491"/>
      <c r="C45" s="491"/>
      <c r="D45" s="491"/>
      <c r="E45" s="491"/>
      <c r="F45" s="491"/>
      <c r="G45" s="491"/>
      <c r="H45" s="491"/>
      <c r="I45" s="491"/>
      <c r="J45" s="491"/>
      <c r="K45" s="491"/>
    </row>
    <row r="46" spans="1:16">
      <c r="B46" s="491"/>
      <c r="C46" s="491"/>
      <c r="D46" s="491"/>
      <c r="E46" s="491"/>
      <c r="F46" s="491"/>
      <c r="G46" s="491"/>
      <c r="H46" s="491"/>
      <c r="I46" s="491"/>
      <c r="J46" s="491"/>
      <c r="K46" s="491"/>
    </row>
  </sheetData>
  <sheetProtection password="CF7A" sheet="1" scenarios="1" autoFilter="0"/>
  <mergeCells count="19">
    <mergeCell ref="B43:D43"/>
    <mergeCell ref="H43:K43"/>
    <mergeCell ref="B24:C24"/>
    <mergeCell ref="B25:C25"/>
    <mergeCell ref="B26:C26"/>
    <mergeCell ref="B27:C27"/>
    <mergeCell ref="C40:E40"/>
    <mergeCell ref="G40:I40"/>
    <mergeCell ref="B38:C38"/>
    <mergeCell ref="B39:C39"/>
    <mergeCell ref="B10:P10"/>
    <mergeCell ref="B22:P22"/>
    <mergeCell ref="B34:P34"/>
    <mergeCell ref="B37:C37"/>
    <mergeCell ref="G4:P4"/>
    <mergeCell ref="L12:M12"/>
    <mergeCell ref="L13:M13"/>
    <mergeCell ref="L14:M14"/>
    <mergeCell ref="L15:M15"/>
  </mergeCells>
  <pageMargins left="0.78740157480314965" right="0.39370078740157483" top="0.39370078740157483" bottom="0.39370078740157483" header="0.31496062992125984" footer="0.31496062992125984"/>
  <pageSetup scale="72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9</vt:i4>
      </vt:variant>
    </vt:vector>
  </HeadingPairs>
  <TitlesOfParts>
    <vt:vector size="19" baseType="lpstr">
      <vt:lpstr>CARATULA</vt:lpstr>
      <vt:lpstr>FILIACIÓN</vt:lpstr>
      <vt:lpstr>CENTRALIZADOR</vt:lpstr>
      <vt:lpstr>ASISTENCIA 1</vt:lpstr>
      <vt:lpstr>1ER TRIMESTRE</vt:lpstr>
      <vt:lpstr>ASISTENCIA 2</vt:lpstr>
      <vt:lpstr>2DO TRIMESTRE</vt:lpstr>
      <vt:lpstr>ASISTENCIA 3</vt:lpstr>
      <vt:lpstr>3ER TRIMESTRE</vt:lpstr>
      <vt:lpstr>ESTADISTICA</vt:lpstr>
      <vt:lpstr>'1ER TRIMESTRE'!Área_de_impresión</vt:lpstr>
      <vt:lpstr>'2DO TRIMESTRE'!Área_de_impresión</vt:lpstr>
      <vt:lpstr>'3ER TRIMESTRE'!Área_de_impresión</vt:lpstr>
      <vt:lpstr>'ASISTENCIA 1'!Área_de_impresión</vt:lpstr>
      <vt:lpstr>'ASISTENCIA 2'!Área_de_impresión</vt:lpstr>
      <vt:lpstr>'ASISTENCIA 3'!Área_de_impresión</vt:lpstr>
      <vt:lpstr>CARATULA!Área_de_impresión</vt:lpstr>
      <vt:lpstr>CENTRALIZADOR!Área_de_impresión</vt:lpstr>
      <vt:lpstr>FILIACIÓN!Área_de_impresión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Jcp</dc:creator>
  <cp:lastModifiedBy>O_msKas-GlobalPC</cp:lastModifiedBy>
  <cp:lastPrinted>2025-03-04T01:35:56Z</cp:lastPrinted>
  <dcterms:created xsi:type="dcterms:W3CDTF">2013-03-08T01:01:51Z</dcterms:created>
  <dcterms:modified xsi:type="dcterms:W3CDTF">2025-10-24T04:08:48Z</dcterms:modified>
</cp:coreProperties>
</file>